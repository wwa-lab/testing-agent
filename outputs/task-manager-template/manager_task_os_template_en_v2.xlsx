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708d3b764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07e75dbfd364a71"/>
    <x:sheet xmlns:r="http://schemas.openxmlformats.org/officeDocument/2006/relationships" name="Task Inbox" sheetId="2" r:id="R82e5b7f4d28e4e44"/>
    <x:sheet xmlns:r="http://schemas.openxmlformats.org/officeDocument/2006/relationships" name="Daily Plan" sheetId="3" r:id="R3f7e04cffac1438e"/>
    <x:sheet xmlns:r="http://schemas.openxmlformats.org/officeDocument/2006/relationships" name="Projects" sheetId="4" r:id="Rabecfb0b06e44647"/>
    <x:sheet xmlns:r="http://schemas.openxmlformats.org/officeDocument/2006/relationships" name="Delegated Waiting" sheetId="5" r:id="R1753325806e247d8"/>
    <x:sheet xmlns:r="http://schemas.openxmlformats.org/officeDocument/2006/relationships" name="Settings" sheetId="6" r:id="Raa7f334d6cca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10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667085"/>
      <x:name val="Carlito"/>
    </x:font>
    <x:font>
      <x:b/>
      <x:sz val="11"/>
      <x:color rgb="FF172033"/>
      <x:name val="Carlito"/>
    </x:font>
    <x:font>
      <x:sz val="1"/>
      <x:color rgb="FFFFFFFF"/>
      <x:name val="Carlito"/>
    </x:font>
    <x:font>
      <x:b/>
      <x:sz val="11"/>
      <x:color rgb="FFFFFFFF"/>
      <x:name val="Carlito"/>
    </x:font>
    <x:font>
      <x:b/>
      <x:sz val="10"/>
      <x:color rgb="FF172033"/>
      <x:name val="Aptos"/>
    </x:font>
    <x:font>
      <x:sz val="10"/>
      <x:color rgb="FF172033"/>
      <x:name val="Aptos"/>
    </x:font>
    <x:font>
      <x:i/>
      <x:sz val="10"/>
      <x:color rgb="FF172033"/>
      <x:name val="Aptos"/>
    </x:font>
    <x:font>
      <x:sz val="1"/>
      <x:color rgb="FFFFFFFF"/>
      <x:name val="Aptos"/>
    </x:font>
  </x:fonts>
  <x:fills count="2">
    <x:fill>
      <x:patternFill patternType="none"/>
    </x:fill>
    <x:fill>
      <x:patternFill patternType="gray125"/>
    </x:fill>
  </x:fills>
  <x:borders count="3">
    <x:border/>
    <x:border>
      <x:bottom/>
    </x:border>
    <x:border>
      <x:left/>
      <x:right/>
      <x:top/>
      <x:bottom/>
    </x:border>
  </x:borders>
  <x:cellStyleXfs count="1">
    <x:xf numFmtId="0" fontId="0" fillId="0" borderId="0"/>
  </x:cellStyleXfs>
  <x:cellXfs count="3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vertical="center" wrapText="1"/>
    </x:xf>
    <x:xf numFmtId="0" fontId="3" borderId="2" xfId="0" applyNumberFormat="1" applyFont="1" applyFill="0" applyBorder="1" applyAlignment="1">
      <x:alignment vertical="center" wrapText="1"/>
    </x:xf>
    <x:xf numFmtId="0" fontId="0" borderId="2" xfId="0" applyNumberFormat="1" applyFont="1" applyFill="0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5" borderId="0" xfId="0" applyNumberFormat="1" applyFont="1" applyFill="0" applyBorder="1"/>
    <x:xf numFmtId="0" fontId="6" borderId="0" xfId="0" applyNumberFormat="1" applyFont="1" applyFill="0" applyBorder="1"/>
    <x:xf numFmtId="0" fontId="7" borderId="0" xfId="0" applyNumberFormat="1" applyFont="1" applyFill="0" applyBorder="1"/>
    <x:xf numFmtId="0" fontId="8" borderId="0" xfId="0" applyNumberFormat="1" applyFont="1" applyFill="0" applyBorder="1"/>
    <x:xf numFmtId="0" fontId="7" fillId="0" borderId="0" xfId="0" applyNumberFormat="1" applyFont="1" applyFill="1" applyBorder="1"/>
    <x:xf numFmtId="0" fontId="6" borderId="2" xfId="0" applyNumberFormat="1" applyFont="1" applyFill="0" applyBorder="1" applyAlignment="1">
      <x:alignment vertical="center" wrapText="1"/>
    </x:xf>
    <x:xf numFmtId="0" fontId="7" borderId="2" xfId="0" applyNumberFormat="1" applyFont="1" applyFill="0" applyBorder="1"/>
    <x:xf numFmtId="0" fontId="6" borderId="1" xfId="0" applyNumberFormat="1" applyFont="1" applyFill="0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borderId="0" xfId="0" applyNumberFormat="1" applyFont="1" applyFill="0" applyBorder="1" applyAlignment="1">
      <x:alignment wrapText="1"/>
    </x:xf>
  </x:cellXfs>
  <x:cellStyles count="1">
    <x:cellStyle name="Normal" xfId="0"/>
  </x:cellStyles>
  <x:dxfs count="1">
    <x:dxf>
      <x:font>
        <x:b/>
        <x:color rgb="FF991B1B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a85f7a4cb4fa6" /><Relationship Type="http://schemas.openxmlformats.org/officeDocument/2006/relationships/theme" Target="/xl/theme/theme1.xml" Id="Rd7e22d8006a94356" /><Relationship Type="http://schemas.openxmlformats.org/officeDocument/2006/relationships/sharedStrings" Target="/xl/sharedStrings.xml" Id="R3266dcd6457945c5" /><Relationship Type="http://schemas.openxmlformats.org/officeDocument/2006/relationships/worksheet" Target="/xl/worksheets/sheet1.xml" Id="R407e75dbfd364a71" /><Relationship Type="http://schemas.openxmlformats.org/officeDocument/2006/relationships/worksheet" Target="/xl/worksheets/sheet2.xml" Id="R82e5b7f4d28e4e44" /><Relationship Type="http://schemas.openxmlformats.org/officeDocument/2006/relationships/worksheet" Target="/xl/worksheets/sheet3.xml" Id="R3f7e04cffac1438e" /><Relationship Type="http://schemas.openxmlformats.org/officeDocument/2006/relationships/worksheet" Target="/xl/worksheets/sheet4.xml" Id="Rabecfb0b06e44647" /><Relationship Type="http://schemas.openxmlformats.org/officeDocument/2006/relationships/worksheet" Target="/xl/worksheets/sheet5.xml" Id="R1753325806e247d8" /><Relationship Type="http://schemas.openxmlformats.org/officeDocument/2006/relationships/worksheet" Target="/xl/worksheets/sheet6.xml" Id="Raa7f334d6cca41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7767a6441a4f47" /><Relationship Type="http://schemas.openxmlformats.org/officeDocument/2006/relationships/chart" Target="/xl/drawings/charts/chart2.xml" Id="R9a953281178647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'Dashboard'!$E$5:$E$11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Tasks by Priority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Open</c:v>
          </c:tx>
          <c:cat>
            <c:strRef>
              <c:f>'Dashboard'!$G$5:$G$8</c:f>
              <c:strCache>
                <c:ptCount val="0"/>
              </c:strCache>
            </c:strRef>
          </c:cat>
          <c:val>
            <c:numRef>
              <c:f>'Dashboard'!$H$5:$H$8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13</xdr:col>
      <xdr:colOff>0</xdr:colOff>
      <xdr:row>11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7767a6441a4f47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953281178647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InboxTable" displayName="TaskInboxTable" ref="A5:Q205" headerRowCount="1">
  <x:tableColumns count="17">
    <x:tableColumn id="1" name="ID"/>
    <x:tableColumn id="2" name="Task"/>
    <x:tableColumn id="3" name="Type"/>
    <x:tableColumn id="4" name="Project"/>
    <x:tableColumn id="5" name="Owner"/>
    <x:tableColumn id="6" name="Priority"/>
    <x:tableColumn id="7" name="Status"/>
    <x:tableColumn id="8" name="Due Date"/>
    <x:tableColumn id="9" name="Effort (h)"/>
    <x:tableColumn id="10" name="Progress"/>
    <x:tableColumn id="11" name="Next Step"/>
    <x:tableColumn id="12" name="Today?"/>
    <x:tableColumn id="13" name="Delegated?"/>
    <x:tableColumn id="14" name="Blocker"/>
    <x:tableColumn id="15" name="Last Updated"/>
    <x:tableColumn id="16" name="Notes"/>
    <x:tableColumn id="17" name="Cadence"/>
  </x:tableColumns>
  <x:tableStyleInfo name="TableStyleMedium2" showRowStripes="1"/>
</x:table>
</file>

<file path=xl/tables/table2.xml><?xml version="1.0" encoding="utf-8"?>
<x:table xmlns:x="http://schemas.openxmlformats.org/spreadsheetml/2006/main" id="2" name="ProjectsTable" displayName="ProjectsTable" ref="A5:I25" headerRowCount="1">
  <x:tableColumns count="9">
    <x:tableColumn id="1" name="Project"/>
    <x:tableColumn id="2" name="Project Owner"/>
    <x:tableColumn id="3" name="Status"/>
    <x:tableColumn id="4" name="Total Tasks"/>
    <x:tableColumn id="5" name="Open"/>
    <x:tableColumn id="6" name="Overdue"/>
    <x:tableColumn id="7" name="Blocked"/>
    <x:tableColumn id="8" name="Waiting"/>
    <x:tableColumn id="9" name="Comple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e6bfa7ac254d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944113223f44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8a29c9501a041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" hidden="0" customWidth="1"/>
    <x:col min="3" max="3" width="3.109999895095825" hidden="0" customWidth="1"/>
    <x:col min="4" max="4" width="16.670000076293945" hidden="0" customWidth="1"/>
    <x:col min="5" max="5" width="10" hidden="0" customWidth="1"/>
    <x:col min="6" max="6" width="3.109999895095825" hidden="0" customWidth="1"/>
    <x:col min="7" max="7" width="14.4399995803833" hidden="0" customWidth="1"/>
    <x:col min="8" max="8" width="10" hidden="0" customWidth="1"/>
    <x:col min="9" max="9" width="3.109999895095825" hidden="0" customWidth="1"/>
    <x:col min="10" max="10" width="10.5600004196167" hidden="0" customWidth="1"/>
    <x:col min="11" max="11" width="10.5600004196167" hidden="0" customWidth="1"/>
    <x:col min="12" max="12" width="10.5600004196167" hidden="0" customWidth="1"/>
    <x:col min="13" max="13" width="10.5600004196167" hidden="0" customWidth="1"/>
  </x:cols>
  <x:sheetData>
    <x:row r="1" ht="31.5" customHeight="1">
      <x:c r="A1" s="2" t="str">
        <x:v>Manager Task OS: Dashboard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</x:row>
    <x:row r="2">
      <x:c r="A2" s="22" t="str">
        <x:v>Start here every day: due soon, overdue, waiting, blockers, and project health.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</x:row>
    <x:row r="4">
      <x:c r="A4" s="24" t="str">
        <x:v>Metric</x:v>
      </x:c>
      <x:c r="B4" s="24" t="str">
        <x:v>Count</x:v>
      </x:c>
      <x:c r="C4" s="23"/>
      <x:c r="D4" s="24" t="str">
        <x:v>Status</x:v>
      </x:c>
      <x:c r="E4" s="24" t="str">
        <x:v>Count</x:v>
      </x:c>
      <x:c r="F4" s="23"/>
      <x:c r="G4" s="24" t="str">
        <x:v>Priority</x:v>
      </x:c>
      <x:c r="H4" s="24" t="str">
        <x:v>Open</x:v>
      </x:c>
      <x:c r="I4" s="23"/>
      <x:c r="J4" s="23"/>
      <x:c r="K4" s="23"/>
      <x:c r="L4" s="23"/>
      <x:c r="M4" s="23"/>
    </x:row>
    <x:row r="5">
      <x:c r="A5" s="25" t="str">
        <x:v>Open Tasks</x:v>
      </x:c>
      <x:c r="B5" s="25" t="n">
        <x:f>COUNTIFS('Task Inbox'!$B$6:$B$205,"&lt;&gt;",'Task Inbox'!$G$6:$G$205,"&lt;&gt;Done",'Task Inbox'!$G$6:$G$205,"&lt;&gt;Canceled")</x:f>
        <x:v>5</x:v>
      </x:c>
      <x:c r="C5" s="23"/>
      <x:c r="D5" s="25" t="str">
        <x:v>Not Started</x:v>
      </x:c>
      <x:c r="E5" s="25" t="n">
        <x:f>COUNTIFS('Task Inbox'!$G$6:$G$205,D5)</x:f>
        <x:v>1</x:v>
      </x:c>
      <x:c r="F5" s="23"/>
      <x:c r="G5" s="25" t="str">
        <x:v>P0 Critical</x:v>
      </x:c>
      <x:c r="H5" s="25" t="n">
        <x:f>COUNTIFS('Task Inbox'!$F$6:$F$205,G5,'Task Inbox'!$G$6:$G$205,"&lt;&gt;Done",'Task Inbox'!$B$6:$B$205,"&lt;&gt;")</x:f>
        <x:v>1</x:v>
      </x:c>
      <x:c r="I5" s="23"/>
      <x:c r="J5" s="23"/>
      <x:c r="K5" s="23"/>
      <x:c r="L5" s="23"/>
      <x:c r="M5" s="23"/>
    </x:row>
    <x:row r="6">
      <x:c r="A6" s="25" t="str">
        <x:v>Due Today/Tomorrow</x:v>
      </x:c>
      <x:c r="B6" s="25" t="n">
        <x:f>COUNTIFS('Task Inbox'!$B$6:$B$205,"&lt;&gt;",'Task Inbox'!$G$6:$G$205,"&lt;&gt;Done",'Task Inbox'!$H$6:$H$205,"&lt;="&amp;TODAY()+1)</x:f>
        <x:v>3</x:v>
      </x:c>
      <x:c r="C6" s="23"/>
      <x:c r="D6" s="25" t="str">
        <x:v>In Progress</x:v>
      </x:c>
      <x:c r="E6" s="25" t="n">
        <x:f>COUNTIFS('Task Inbox'!$G$6:$G$205,D6)</x:f>
        <x:v>2</x:v>
      </x:c>
      <x:c r="F6" s="23"/>
      <x:c r="G6" s="25" t="str">
        <x:v>P1 High</x:v>
      </x:c>
      <x:c r="H6" s="25" t="n">
        <x:f>COUNTIFS('Task Inbox'!$F$6:$F$205,G6,'Task Inbox'!$G$6:$G$205,"&lt;&gt;Done",'Task Inbox'!$B$6:$B$205,"&lt;&gt;")</x:f>
        <x:v>3</x:v>
      </x:c>
      <x:c r="I6" s="23"/>
      <x:c r="J6" s="23"/>
      <x:c r="K6" s="23"/>
      <x:c r="L6" s="23"/>
      <x:c r="M6" s="23"/>
    </x:row>
    <x:row r="7">
      <x:c r="A7" s="25" t="str">
        <x:v>Overdue</x:v>
      </x:c>
      <x:c r="B7" s="25" t="n">
        <x:f>COUNTIFS('Task Inbox'!$B$6:$B$205,"&lt;&gt;",'Task Inbox'!$G$6:$G$205,"&lt;&gt;Done",'Task Inbox'!$H$6:$H$205,"&lt;"&amp;TODAY())</x:f>
        <x:v>1</x:v>
      </x:c>
      <x:c r="C7" s="23"/>
      <x:c r="D7" s="25" t="str">
        <x:v>Waiting on Others</x:v>
      </x:c>
      <x:c r="E7" s="25" t="n">
        <x:f>COUNTIFS('Task Inbox'!$G$6:$G$205,D7)</x:f>
        <x:v>1</x:v>
      </x:c>
      <x:c r="F7" s="23"/>
      <x:c r="G7" s="25" t="str">
        <x:v>P2 Medium</x:v>
      </x:c>
      <x:c r="H7" s="25" t="n">
        <x:f>COUNTIFS('Task Inbox'!$F$6:$F$205,G7,'Task Inbox'!$G$6:$G$205,"&lt;&gt;Done",'Task Inbox'!$B$6:$B$205,"&lt;&gt;")</x:f>
        <x:v>1</x:v>
      </x:c>
      <x:c r="I7" s="23"/>
      <x:c r="J7" s="23"/>
      <x:c r="K7" s="23"/>
      <x:c r="L7" s="23"/>
      <x:c r="M7" s="23"/>
    </x:row>
    <x:row r="8">
      <x:c r="A8" s="25" t="str">
        <x:v>Waiting on Others</x:v>
      </x:c>
      <x:c r="B8" s="25" t="n">
        <x:f>COUNTIFS('Task Inbox'!$G$6:$G$205,"Waiting on Others")</x:f>
        <x:v>1</x:v>
      </x:c>
      <x:c r="C8" s="23"/>
      <x:c r="D8" s="25" t="str">
        <x:v>Blocked</x:v>
      </x:c>
      <x:c r="E8" s="25" t="n">
        <x:f>COUNTIFS('Task Inbox'!$G$6:$G$205,D8)</x:f>
        <x:v>1</x:v>
      </x:c>
      <x:c r="F8" s="23"/>
      <x:c r="G8" s="25" t="str">
        <x:v>P3 Low</x:v>
      </x:c>
      <x:c r="H8" s="25" t="n">
        <x:f>COUNTIFS('Task Inbox'!$F$6:$F$205,G8,'Task Inbox'!$G$6:$G$205,"&lt;&gt;Done",'Task Inbox'!$B$6:$B$205,"&lt;&gt;")</x:f>
        <x:v>0</x:v>
      </x:c>
      <x:c r="I8" s="23"/>
      <x:c r="J8" s="23"/>
      <x:c r="K8" s="23"/>
      <x:c r="L8" s="23"/>
      <x:c r="M8" s="23"/>
    </x:row>
    <x:row r="9">
      <x:c r="A9" s="25" t="str">
        <x:v>Blocked</x:v>
      </x:c>
      <x:c r="B9" s="25" t="n">
        <x:f>COUNTIFS('Task Inbox'!$G$6:$G$205,"Blocked")</x:f>
        <x:v>1</x:v>
      </x:c>
      <x:c r="C9" s="23"/>
      <x:c r="D9" s="25" t="str">
        <x:v>Scheduled</x:v>
      </x:c>
      <x:c r="E9" s="25" t="n">
        <x:f>COUNTIFS('Task Inbox'!$G$6:$G$205,D9)</x:f>
        <x:v>0</x:v>
      </x:c>
      <x:c r="F9" s="23"/>
      <x:c r="G9" s="23"/>
      <x:c r="H9" s="23"/>
      <x:c r="I9" s="23"/>
      <x:c r="J9" s="23"/>
      <x:c r="K9" s="23"/>
      <x:c r="L9" s="23"/>
      <x:c r="M9" s="23"/>
    </x:row>
    <x:row r="10">
      <x:c r="A10" s="23"/>
      <x:c r="B10" s="23"/>
      <x:c r="C10" s="23"/>
      <x:c r="D10" s="25" t="str">
        <x:v>Done</x:v>
      </x:c>
      <x:c r="E10" s="25" t="n">
        <x:f>COUNTIFS('Task Inbox'!$G$6:$G$205,D10)</x:f>
        <x:v>1</x:v>
      </x:c>
      <x:c r="F10" s="23"/>
      <x:c r="G10" s="23"/>
      <x:c r="H10" s="23"/>
      <x:c r="I10" s="23"/>
      <x:c r="J10" s="23"/>
      <x:c r="K10" s="23"/>
      <x:c r="L10" s="23"/>
      <x:c r="M10" s="23"/>
    </x:row>
    <x:row r="11">
      <x:c r="A11" s="23"/>
      <x:c r="B11" s="23"/>
      <x:c r="C11" s="23"/>
      <x:c r="D11" s="25" t="str">
        <x:v>Canceled</x:v>
      </x:c>
      <x:c r="E11" s="25" t="n">
        <x:f>COUNTIFS('Task Inbox'!$G$6:$G$205,D11)</x:f>
        <x:v>0</x:v>
      </x:c>
      <x:c r="F11" s="23"/>
      <x:c r="G11" s="23"/>
      <x:c r="H11" s="23"/>
      <x:c r="I11" s="23"/>
      <x:c r="J11" s="23"/>
      <x:c r="K11" s="23"/>
      <x:c r="L11" s="23"/>
      <x:c r="M11" s="23"/>
    </x:row>
    <x:row r="12">
      <x:c r="A12" s="20" t="str">
        <x:v>Daily Manager Rhythm</x:v>
      </x:c>
      <x:c r="B12" s="23" t="str"/>
      <x:c r="C12" s="23" t="str"/>
      <x:c r="D12" s="23" t="str"/>
      <x:c r="E12" s="23" t="str"/>
      <x:c r="F12" s="23" t="str"/>
      <x:c r="G12" s="23" t="str"/>
      <x:c r="H12" s="23" t="str"/>
      <x:c r="I12" s="23" t="str"/>
      <x:c r="J12" s="23" t="str"/>
      <x:c r="K12" s="23" t="str"/>
      <x:c r="L12" s="23" t="str"/>
      <x:c r="M12" s="23" t="str"/>
    </x:row>
    <x:row r="13">
      <x:c r="A13" s="25" t="str">
        <x:v>Morning 10 min</x:v>
      </x:c>
      <x:c r="B13" s="25" t="str">
        <x:v>Clear new tasks and mark what must move today</x:v>
      </x:c>
      <x:c r="C13" s="25" t="str"/>
      <x:c r="D13" s="25" t="str"/>
      <x:c r="E13" s="25" t="str"/>
      <x:c r="F13" s="25" t="str"/>
      <x:c r="G13" s="25" t="str"/>
      <x:c r="H13" s="25" t="str"/>
      <x:c r="I13" s="25" t="str"/>
      <x:c r="J13" s="25" t="str"/>
      <x:c r="K13" s="25" t="str"/>
      <x:c r="L13" s="25" t="str"/>
      <x:c r="M13" s="25" t="str"/>
    </x:row>
    <x:row r="14">
      <x:c r="A14" s="25" t="str">
        <x:v>Midday 10 min</x:v>
      </x:c>
      <x:c r="B14" s="25" t="str">
        <x:v>Review delegated/waiting items and remove blockers</x:v>
      </x:c>
      <x:c r="C14" s="25" t="str"/>
      <x:c r="D14" s="25" t="str"/>
      <x:c r="E14" s="25" t="str"/>
      <x:c r="F14" s="25" t="str"/>
      <x:c r="G14" s="25" t="str"/>
      <x:c r="H14" s="25" t="str"/>
      <x:c r="I14" s="25" t="str"/>
      <x:c r="J14" s="25" t="str"/>
      <x:c r="K14" s="25" t="str"/>
      <x:c r="L14" s="25" t="str"/>
      <x:c r="M14" s="25" t="str"/>
    </x:row>
    <x:row r="15">
      <x:c r="A15" s="25" t="str">
        <x:v>End of day 10 min</x:v>
      </x:c>
      <x:c r="B15" s="25" t="str">
        <x:v>Update progress and rewrite vague work into a clear next step</x:v>
      </x:c>
      <x:c r="C15" s="25" t="str"/>
      <x:c r="D15" s="25" t="str"/>
      <x:c r="E15" s="25" t="str"/>
      <x:c r="F15" s="25" t="str"/>
      <x:c r="G15" s="25" t="str"/>
      <x:c r="H15" s="25" t="str"/>
      <x:c r="I15" s="25" t="str"/>
      <x:c r="J15" s="25" t="str"/>
      <x:c r="K15" s="25" t="str"/>
      <x:c r="L15" s="25" t="str"/>
      <x:c r="M15" s="25" t="str"/>
    </x:row>
    <x:row r="16">
      <x:c r="A16" s="25" t="str">
        <x:v>Weekly review</x:v>
      </x:c>
      <x:c r="B16" s="25" t="str">
        <x:v>Delete low-value tasks and reset the team Top 3</x:v>
      </x:c>
      <x:c r="C16" s="25" t="str"/>
      <x:c r="D16" s="25" t="str"/>
      <x:c r="E16" s="25" t="str"/>
      <x:c r="F16" s="25" t="str"/>
      <x:c r="G16" s="25" t="str"/>
      <x:c r="H16" s="25" t="str"/>
      <x:c r="I16" s="25" t="str"/>
      <x:c r="J16" s="25" t="str"/>
      <x:c r="K16" s="25" t="str"/>
      <x:c r="L16" s="25" t="str"/>
      <x:c r="M16" s="25" t="str"/>
    </x:row>
    <x:row r="17">
      <x:c r="A17" s="25" t="str">
        <x:v>Rule</x:v>
      </x:c>
      <x:c r="B17" s="25" t="str">
        <x:v>Every active task needs owner, status, due date, and next step</x:v>
      </x:c>
      <x:c r="C17" s="25" t="str"/>
      <x:c r="D17" s="25" t="str"/>
      <x:c r="E17" s="25" t="str"/>
      <x:c r="F17" s="25" t="str"/>
      <x:c r="G17" s="25" t="str"/>
      <x:c r="H17" s="25" t="str"/>
      <x:c r="I17" s="25" t="str"/>
      <x:c r="J17" s="25" t="str"/>
      <x:c r="K17" s="25" t="str"/>
      <x:c r="L17" s="25" t="str"/>
      <x:c r="M17" s="25" t="str"/>
    </x:row>
  </x:sheetData>
  <x:pageMargins left="0.7" right="0.7" top="0.75" bottom="0.75" header="0.3" footer="0.3"/>
  <x:drawing xmlns:r="http://schemas.openxmlformats.org/officeDocument/2006/relationships" r:id="Rb9e6bfa7ac254d5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31.110000610351562" hidden="0" customWidth="1"/>
    <x:col min="3" max="3" width="13.329999923706055" hidden="0" customWidth="1"/>
    <x:col min="4" max="4" width="18.889999389648438" hidden="0" customWidth="1"/>
    <x:col min="5" max="5" width="13.329999923706055" hidden="0" customWidth="1"/>
    <x:col min="6" max="6" width="13.329999923706055" hidden="0" customWidth="1"/>
    <x:col min="7" max="7" width="15.5600004196167" hidden="0" customWidth="1"/>
    <x:col min="8" max="8" width="12.779999732971191" hidden="0" customWidth="1"/>
    <x:col min="9" max="9" width="10.5600004196167" hidden="0" customWidth="1"/>
    <x:col min="10" max="10" width="10" hidden="0" customWidth="1"/>
    <x:col min="11" max="11" width="27.780000686645508" hidden="0" customWidth="1"/>
    <x:col min="12" max="12" width="8.890000343322754" hidden="0" customWidth="1"/>
    <x:col min="13" max="13" width="10.5600004196167" hidden="0" customWidth="1"/>
    <x:col min="14" max="14" width="24.440000534057617" hidden="0" customWidth="1"/>
    <x:col min="15" max="15" width="12.779999732971191" hidden="0" customWidth="1"/>
    <x:col min="16" max="16" width="27.780000686645508" hidden="0" customWidth="1"/>
    <x:col min="17" max="17" width="13.329999923706055" hidden="0" customWidth="1"/>
    <x:col min="18" max="18" width="0.4399999976158142" hidden="0" customWidth="1"/>
    <x:col min="19" max="19" width="0.4399999976158142" hidden="0" customWidth="1"/>
  </x:cols>
  <x:sheetData>
    <x:row r="1" ht="31.5" customHeight="1">
      <x:c r="A1" s="2" t="str">
        <x:v>Manager Task OS: Task Inbox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3"/>
      <x:c r="S1" s="23"/>
    </x:row>
    <x:row r="2">
      <x:c r="A2" s="22" t="str">
        <x:v>Capture tasks quickly and manage owner, project, status, due date, blockers, and cadence with dropdowns.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</x:row>
    <x:row r="5">
      <x:c r="A5" s="26" t="str">
        <x:v>ID</x:v>
      </x:c>
      <x:c r="B5" s="26" t="str">
        <x:v>Task</x:v>
      </x:c>
      <x:c r="C5" s="26" t="str">
        <x:v>Type</x:v>
      </x:c>
      <x:c r="D5" s="26" t="str">
        <x:v>Project</x:v>
      </x:c>
      <x:c r="E5" s="26" t="str">
        <x:v>Owner</x:v>
      </x:c>
      <x:c r="F5" s="26" t="str">
        <x:v>Priority</x:v>
      </x:c>
      <x:c r="G5" s="26" t="str">
        <x:v>Status</x:v>
      </x:c>
      <x:c r="H5" s="26" t="str">
        <x:v>Due Date</x:v>
      </x:c>
      <x:c r="I5" s="26" t="str">
        <x:v>Effort (h)</x:v>
      </x:c>
      <x:c r="J5" s="26" t="str">
        <x:v>Progress</x:v>
      </x:c>
      <x:c r="K5" s="26" t="str">
        <x:v>Next Step</x:v>
      </x:c>
      <x:c r="L5" s="26" t="str">
        <x:v>Today?</x:v>
      </x:c>
      <x:c r="M5" s="26" t="str">
        <x:v>Delegated?</x:v>
      </x:c>
      <x:c r="N5" s="26" t="str">
        <x:v>Blocker</x:v>
      </x:c>
      <x:c r="O5" s="26" t="str">
        <x:v>Last Updated</x:v>
      </x:c>
      <x:c r="P5" s="26" t="str">
        <x:v>Notes</x:v>
      </x:c>
      <x:c r="Q5" s="26" t="str">
        <x:v>Cadence</x:v>
      </x:c>
      <x:c r="R5" s="32" t="str">
        <x:v>Daily View Rank</x:v>
      </x:c>
      <x:c r="S5" s="32" t="str">
        <x:v>Waiting View Rank</x:v>
      </x:c>
    </x:row>
    <x:row r="6">
      <x:c r="A6" s="27" t="str">
        <x:v>T-001</x:v>
      </x:c>
      <x:c r="B6" s="27" t="str">
        <x:v>Confirm this week's team Top 3 priorities</x:v>
      </x:c>
      <x:c r="C6" s="27" t="str">
        <x:v>Team</x:v>
      </x:c>
      <x:c r="D6" s="27" t="str">
        <x:v>Team Management</x:v>
      </x:c>
      <x:c r="E6" s="27" t="str">
        <x:v>Me</x:v>
      </x:c>
      <x:c r="F6" s="27" t="str">
        <x:v>P0 Critical</x:v>
      </x:c>
      <x:c r="G6" s="27" t="str">
        <x:v>In Progress</x:v>
      </x:c>
      <x:c r="H6" s="28" t="n">
        <x:v>46174</x:v>
      </x:c>
      <x:c r="I6" s="29" t="n">
        <x:v>1</x:v>
      </x:c>
      <x:c r="J6" s="30" t="n">
        <x:v>0.5</x:v>
      </x:c>
      <x:c r="K6" s="27" t="str">
        <x:v>Confirm owner in 15-min standup</x:v>
      </x:c>
      <x:c r="L6" s="27" t="str">
        <x:v>Yes</x:v>
      </x:c>
      <x:c r="M6" s="27" t="str">
        <x:v>No</x:v>
      </x:c>
      <x:c r="N6" s="27" t="str"/>
      <x:c r="O6" s="28" t="n">
        <x:v>46174</x:v>
      </x:c>
      <x:c r="P6" s="27" t="str">
        <x:v>Update every morning</x:v>
      </x:c>
      <x:c r="Q6" s="27" t="str">
        <x:v>Weekly</x:v>
      </x:c>
      <x:c r="R6" s="32" t="n">
        <x:f>IF(AND($B6&lt;&gt;"",$G6&lt;&gt;"Done",$G6&lt;&gt;"Canceled",OR($L6="Yes",$H6&lt;=TODAY()+1,$F6="P0 Critical",$F6="P1 High",$G6="Blocked",$G6="Waiting on Others")),COUNT($R$5:R5)+1,"")</x:f>
        <x:v>1</x:v>
      </x:c>
      <x:c r="S6" s="32" t="str">
        <x:f>IF(AND($B6&lt;&gt;"",$G6&lt;&gt;"Done",$G6&lt;&gt;"Canceled",OR($M6="Yes",$G6="Blocked",$G6="Waiting on Others")),COUNT($S$5:S5)+1,"")</x:f>
      </x:c>
    </x:row>
    <x:row r="7">
      <x:c r="A7" s="27" t="str">
        <x:v>T-002</x:v>
      </x:c>
      <x:c r="B7" s="27" t="str">
        <x:v>Follow up on customer delivery risk list</x:v>
      </x:c>
      <x:c r="C7" s="27" t="str">
        <x:v>Project</x:v>
      </x:c>
      <x:c r="D7" s="27" t="str">
        <x:v>Customer Delivery</x:v>
      </x:c>
      <x:c r="E7" s="27" t="str">
        <x:v>Alice</x:v>
      </x:c>
      <x:c r="F7" s="27" t="str">
        <x:v>P1 High</x:v>
      </x:c>
      <x:c r="G7" s="27" t="str">
        <x:v>Waiting on Others</x:v>
      </x:c>
      <x:c r="H7" s="28" t="n">
        <x:v>46175</x:v>
      </x:c>
      <x:c r="I7" s="29" t="n">
        <x:v>2</x:v>
      </x:c>
      <x:c r="J7" s="30" t="n">
        <x:v>0.35</x:v>
      </x:c>
      <x:c r="K7" s="27" t="str">
        <x:v>Waiting for risk rating from Alice</x:v>
      </x:c>
      <x:c r="L7" s="27" t="str">
        <x:v>Yes</x:v>
      </x:c>
      <x:c r="M7" s="27" t="str">
        <x:v>Yes</x:v>
      </x:c>
      <x:c r="N7" s="27" t="str"/>
      <x:c r="O7" s="28" t="n">
        <x:v>46174</x:v>
      </x:c>
      <x:c r="P7" s="27" t="str">
        <x:v>Need feedback by 3 PM</x:v>
      </x:c>
      <x:c r="Q7" s="27" t="str">
        <x:v>One-time</x:v>
      </x:c>
      <x:c r="R7" s="32" t="n">
        <x:f>IF(AND($B7&lt;&gt;"",$G7&lt;&gt;"Done",$G7&lt;&gt;"Canceled",OR($L7="Yes",$H7&lt;=TODAY()+1,$F7="P0 Critical",$F7="P1 High",$G7="Blocked",$G7="Waiting on Others")),COUNT($R$5:R6)+1,"")</x:f>
        <x:v>2</x:v>
      </x:c>
      <x:c r="S7" s="32" t="n">
        <x:f>IF(AND($B7&lt;&gt;"",$G7&lt;&gt;"Done",$G7&lt;&gt;"Canceled",OR($M7="Yes",$G7="Blocked",$G7="Waiting on Others")),COUNT($S$5:S6)+1,"")</x:f>
        <x:v>1</x:v>
      </x:c>
    </x:row>
    <x:row r="8">
      <x:c r="A8" s="27" t="str">
        <x:v>T-003</x:v>
      </x:c>
      <x:c r="B8" s="27" t="str">
        <x:v>Approve Q3 budget draft</x:v>
      </x:c>
      <x:c r="C8" s="27" t="str">
        <x:v>Decision</x:v>
      </x:c>
      <x:c r="D8" s="27" t="str">
        <x:v>Budget Planning</x:v>
      </x:c>
      <x:c r="E8" s="27" t="str">
        <x:v>Me</x:v>
      </x:c>
      <x:c r="F8" s="27" t="str">
        <x:v>P1 High</x:v>
      </x:c>
      <x:c r="G8" s="27" t="str">
        <x:v>Not Started</x:v>
      </x:c>
      <x:c r="H8" s="28" t="n">
        <x:v>46178</x:v>
      </x:c>
      <x:c r="I8" s="29" t="n">
        <x:v>1.5</x:v>
      </x:c>
      <x:c r="J8" s="30" t="n">
        <x:v>0</x:v>
      </x:c>
      <x:c r="K8" s="27" t="str">
        <x:v>Review Finance version</x:v>
      </x:c>
      <x:c r="L8" s="27" t="str">
        <x:v>No</x:v>
      </x:c>
      <x:c r="M8" s="27" t="str">
        <x:v>No</x:v>
      </x:c>
      <x:c r="N8" s="27" t="str"/>
      <x:c r="O8" s="28" t="n">
        <x:v>46174</x:v>
      </x:c>
      <x:c r="P8" s="27" t="str"/>
      <x:c r="Q8" s="27" t="str">
        <x:v>Quarterly</x:v>
      </x:c>
      <x:c r="R8" s="32" t="n">
        <x:f>IF(AND($B8&lt;&gt;"",$G8&lt;&gt;"Done",$G8&lt;&gt;"Canceled",OR($L8="Yes",$H8&lt;=TODAY()+1,$F8="P0 Critical",$F8="P1 High",$G8="Blocked",$G8="Waiting on Others")),COUNT($R$5:R7)+1,"")</x:f>
        <x:v>3</x:v>
      </x:c>
      <x:c r="S8" s="32" t="str">
        <x:f>IF(AND($B8&lt;&gt;"",$G8&lt;&gt;"Done",$G8&lt;&gt;"Canceled",OR($M8="Yes",$G8="Blocked",$G8="Waiting on Others")),COUNT($S$5:S7)+1,"")</x:f>
      </x:c>
    </x:row>
    <x:row r="9">
      <x:c r="A9" s="27" t="str">
        <x:v>T-004</x:v>
      </x:c>
      <x:c r="B9" s="27" t="str">
        <x:v>Compile hiring interview feedback</x:v>
      </x:c>
      <x:c r="C9" s="27" t="str">
        <x:v>Meeting</x:v>
      </x:c>
      <x:c r="D9" s="27" t="str">
        <x:v>Hiring</x:v>
      </x:c>
      <x:c r="E9" s="27" t="str">
        <x:v>HR</x:v>
      </x:c>
      <x:c r="F9" s="27" t="str">
        <x:v>P2 Medium</x:v>
      </x:c>
      <x:c r="G9" s="27" t="str">
        <x:v>Blocked</x:v>
      </x:c>
      <x:c r="H9" s="28" t="n">
        <x:v>46172</x:v>
      </x:c>
      <x:c r="I9" s="29" t="n">
        <x:v>1</x:v>
      </x:c>
      <x:c r="J9" s="30" t="n">
        <x:v>0.2</x:v>
      </x:c>
      <x:c r="K9" s="27" t="str">
        <x:v>Ask HR for missing scorecard</x:v>
      </x:c>
      <x:c r="L9" s="27" t="str">
        <x:v>Yes</x:v>
      </x:c>
      <x:c r="M9" s="27" t="str">
        <x:v>Yes</x:v>
      </x:c>
      <x:c r="N9" s="27" t="str">
        <x:v>Missing interviewer scorecard</x:v>
      </x:c>
      <x:c r="O9" s="28" t="n">
        <x:v>46174</x:v>
      </x:c>
      <x:c r="P9" s="27" t="str">
        <x:v>Overdue example</x:v>
      </x:c>
      <x:c r="Q9" s="27" t="str">
        <x:v>One-time</x:v>
      </x:c>
      <x:c r="R9" s="32" t="n">
        <x:f>IF(AND($B9&lt;&gt;"",$G9&lt;&gt;"Done",$G9&lt;&gt;"Canceled",OR($L9="Yes",$H9&lt;=TODAY()+1,$F9="P0 Critical",$F9="P1 High",$G9="Blocked",$G9="Waiting on Others")),COUNT($R$5:R8)+1,"")</x:f>
        <x:v>4</x:v>
      </x:c>
      <x:c r="S9" s="32" t="n">
        <x:f>IF(AND($B9&lt;&gt;"",$G9&lt;&gt;"Done",$G9&lt;&gt;"Canceled",OR($M9="Yes",$G9="Blocked",$G9="Waiting on Others")),COUNT($S$5:S8)+1,"")</x:f>
        <x:v>2</x:v>
      </x:c>
    </x:row>
    <x:row r="10">
      <x:c r="A10" s="27" t="str">
        <x:v>T-005</x:v>
      </x:c>
      <x:c r="B10" s="27" t="str">
        <x:v>Archive product improvement meeting notes</x:v>
      </x:c>
      <x:c r="C10" s="27" t="str">
        <x:v>Follow-up</x:v>
      </x:c>
      <x:c r="D10" s="27" t="str">
        <x:v>Product Improvements</x:v>
      </x:c>
      <x:c r="E10" s="27" t="str">
        <x:v>Ben</x:v>
      </x:c>
      <x:c r="F10" s="27" t="str">
        <x:v>P2 Medium</x:v>
      </x:c>
      <x:c r="G10" s="27" t="str">
        <x:v>Done</x:v>
      </x:c>
      <x:c r="H10" s="28" t="n">
        <x:v>46173</x:v>
      </x:c>
      <x:c r="I10" s="29" t="n">
        <x:v>0.5</x:v>
      </x:c>
      <x:c r="J10" s="30" t="n">
        <x:v>1</x:v>
      </x:c>
      <x:c r="K10" s="27" t="str">
        <x:v>Archive notes</x:v>
      </x:c>
      <x:c r="L10" s="27" t="str">
        <x:v>No</x:v>
      </x:c>
      <x:c r="M10" s="27" t="str">
        <x:v>Yes</x:v>
      </x:c>
      <x:c r="N10" s="27" t="str"/>
      <x:c r="O10" s="28" t="n">
        <x:v>46174</x:v>
      </x:c>
      <x:c r="P10" s="27" t="str"/>
      <x:c r="Q10" s="27" t="str">
        <x:v>Weekly</x:v>
      </x:c>
      <x:c r="R10" s="32" t="str">
        <x:f>IF(AND($B10&lt;&gt;"",$G10&lt;&gt;"Done",$G10&lt;&gt;"Canceled",OR($L10="Yes",$H10&lt;=TODAY()+1,$F10="P0 Critical",$F10="P1 High",$G10="Blocked",$G10="Waiting on Others")),COUNT($R$5:R9)+1,"")</x:f>
      </x:c>
      <x:c r="S10" s="32" t="str">
        <x:f>IF(AND($B10&lt;&gt;"",$G10&lt;&gt;"Done",$G10&lt;&gt;"Canceled",OR($M10="Yes",$G10="Blocked",$G10="Waiting on Others")),COUNT($S$5:S9)+1,"")</x:f>
      </x:c>
    </x:row>
    <x:row r="11">
      <x:c r="A11" s="27" t="str">
        <x:v>T-006</x:v>
      </x:c>
      <x:c r="B11" s="27" t="str">
        <x:v>Map cross-functional SLA workflow</x:v>
      </x:c>
      <x:c r="C11" s="27" t="str">
        <x:v>Project</x:v>
      </x:c>
      <x:c r="D11" s="27" t="str">
        <x:v>Process Optimization</x:v>
      </x:c>
      <x:c r="E11" s="27" t="str">
        <x:v>Product</x:v>
      </x:c>
      <x:c r="F11" s="27" t="str">
        <x:v>P1 High</x:v>
      </x:c>
      <x:c r="G11" s="27" t="str">
        <x:v>In Progress</x:v>
      </x:c>
      <x:c r="H11" s="28" t="n">
        <x:v>46180</x:v>
      </x:c>
      <x:c r="I11" s="29" t="n">
        <x:v>3</x:v>
      </x:c>
      <x:c r="J11" s="30" t="n">
        <x:v>0.65</x:v>
      </x:c>
      <x:c r="K11" s="27" t="str">
        <x:v>Add Legal review node</x:v>
      </x:c>
      <x:c r="L11" s="27" t="str">
        <x:v>No</x:v>
      </x:c>
      <x:c r="M11" s="27" t="str">
        <x:v>Yes</x:v>
      </x:c>
      <x:c r="N11" s="27" t="str"/>
      <x:c r="O11" s="28" t="n">
        <x:v>46174</x:v>
      </x:c>
      <x:c r="P11" s="27" t="str"/>
      <x:c r="Q11" s="27" t="str">
        <x:v>Monthly</x:v>
      </x:c>
      <x:c r="R11" s="32" t="n">
        <x:f>IF(AND($B11&lt;&gt;"",$G11&lt;&gt;"Done",$G11&lt;&gt;"Canceled",OR($L11="Yes",$H11&lt;=TODAY()+1,$F11="P0 Critical",$F11="P1 High",$G11="Blocked",$G11="Waiting on Others")),COUNT($R$5:R10)+1,"")</x:f>
        <x:v>5</x:v>
      </x:c>
      <x:c r="S11" s="32" t="n">
        <x:f>IF(AND($B11&lt;&gt;"",$G11&lt;&gt;"Done",$G11&lt;&gt;"Canceled",OR($M11="Yes",$G11="Blocked",$G11="Waiting on Others")),COUNT($S$5:S10)+1,"")</x:f>
        <x:v>3</x:v>
      </x:c>
    </x:row>
    <x:row r="12">
      <x:c r="A12" s="27"/>
      <x:c r="B12" s="27"/>
      <x:c r="C12" s="27"/>
      <x:c r="D12" s="27"/>
      <x:c r="E12" s="27"/>
      <x:c r="F12" s="27"/>
      <x:c r="G12" s="27"/>
      <x:c r="H12" s="28"/>
      <x:c r="I12" s="29"/>
      <x:c r="J12" s="30"/>
      <x:c r="K12" s="27"/>
      <x:c r="L12" s="27"/>
      <x:c r="M12" s="27"/>
      <x:c r="N12" s="27"/>
      <x:c r="O12" s="28"/>
      <x:c r="P12" s="27"/>
      <x:c r="Q12" s="27"/>
      <x:c r="R12" s="32" t="str">
        <x:f>IF(AND($B12&lt;&gt;"",$G12&lt;&gt;"Done",$G12&lt;&gt;"Canceled",OR($L12="Yes",$H12&lt;=TODAY()+1,$F12="P0 Critical",$F12="P1 High",$G12="Blocked",$G12="Waiting on Others")),COUNT($R$5:R11)+1,"")</x:f>
      </x:c>
      <x:c r="S12" s="32" t="str">
        <x:f>IF(AND($B12&lt;&gt;"",$G12&lt;&gt;"Done",$G12&lt;&gt;"Canceled",OR($M12="Yes",$G12="Blocked",$G12="Waiting on Others")),COUNT($S$5:S11)+1,"")</x:f>
      </x:c>
    </x:row>
    <x:row r="13">
      <x:c r="A13" s="27"/>
      <x:c r="B13" s="27"/>
      <x:c r="C13" s="27"/>
      <x:c r="D13" s="27"/>
      <x:c r="E13" s="27"/>
      <x:c r="F13" s="27"/>
      <x:c r="G13" s="27"/>
      <x:c r="H13" s="28"/>
      <x:c r="I13" s="29"/>
      <x:c r="J13" s="30"/>
      <x:c r="K13" s="27"/>
      <x:c r="L13" s="27"/>
      <x:c r="M13" s="27"/>
      <x:c r="N13" s="27"/>
      <x:c r="O13" s="28"/>
      <x:c r="P13" s="27"/>
      <x:c r="Q13" s="27"/>
      <x:c r="R13" s="32" t="str">
        <x:f>IF(AND($B13&lt;&gt;"",$G13&lt;&gt;"Done",$G13&lt;&gt;"Canceled",OR($L13="Yes",$H13&lt;=TODAY()+1,$F13="P0 Critical",$F13="P1 High",$G13="Blocked",$G13="Waiting on Others")),COUNT($R$5:R12)+1,"")</x:f>
      </x:c>
      <x:c r="S13" s="32" t="str">
        <x:f>IF(AND($B13&lt;&gt;"",$G13&lt;&gt;"Done",$G13&lt;&gt;"Canceled",OR($M13="Yes",$G13="Blocked",$G13="Waiting on Others")),COUNT($S$5:S12)+1,"")</x:f>
      </x:c>
    </x:row>
    <x:row r="14">
      <x:c r="A14" s="27"/>
      <x:c r="B14" s="27"/>
      <x:c r="C14" s="27"/>
      <x:c r="D14" s="27"/>
      <x:c r="E14" s="27"/>
      <x:c r="F14" s="27"/>
      <x:c r="G14" s="27"/>
      <x:c r="H14" s="28"/>
      <x:c r="I14" s="29"/>
      <x:c r="J14" s="30"/>
      <x:c r="K14" s="27"/>
      <x:c r="L14" s="27"/>
      <x:c r="M14" s="27"/>
      <x:c r="N14" s="27"/>
      <x:c r="O14" s="28"/>
      <x:c r="P14" s="27"/>
      <x:c r="Q14" s="27"/>
      <x:c r="R14" s="32" t="str">
        <x:f>IF(AND($B14&lt;&gt;"",$G14&lt;&gt;"Done",$G14&lt;&gt;"Canceled",OR($L14="Yes",$H14&lt;=TODAY()+1,$F14="P0 Critical",$F14="P1 High",$G14="Blocked",$G14="Waiting on Others")),COUNT($R$5:R13)+1,"")</x:f>
      </x:c>
      <x:c r="S14" s="32" t="str">
        <x:f>IF(AND($B14&lt;&gt;"",$G14&lt;&gt;"Done",$G14&lt;&gt;"Canceled",OR($M14="Yes",$G14="Blocked",$G14="Waiting on Others")),COUNT($S$5:S13)+1,"")</x:f>
      </x:c>
    </x:row>
    <x:row r="15">
      <x:c r="A15" s="27"/>
      <x:c r="B15" s="27"/>
      <x:c r="C15" s="27"/>
      <x:c r="D15" s="27"/>
      <x:c r="E15" s="27"/>
      <x:c r="F15" s="27"/>
      <x:c r="G15" s="27"/>
      <x:c r="H15" s="28"/>
      <x:c r="I15" s="29"/>
      <x:c r="J15" s="30"/>
      <x:c r="K15" s="27"/>
      <x:c r="L15" s="27"/>
      <x:c r="M15" s="27"/>
      <x:c r="N15" s="27"/>
      <x:c r="O15" s="28"/>
      <x:c r="P15" s="27"/>
      <x:c r="Q15" s="27"/>
      <x:c r="R15" s="32" t="str">
        <x:f>IF(AND($B15&lt;&gt;"",$G15&lt;&gt;"Done",$G15&lt;&gt;"Canceled",OR($L15="Yes",$H15&lt;=TODAY()+1,$F15="P0 Critical",$F15="P1 High",$G15="Blocked",$G15="Waiting on Others")),COUNT($R$5:R14)+1,"")</x:f>
      </x:c>
      <x:c r="S15" s="32" t="str">
        <x:f>IF(AND($B15&lt;&gt;"",$G15&lt;&gt;"Done",$G15&lt;&gt;"Canceled",OR($M15="Yes",$G15="Blocked",$G15="Waiting on Others")),COUNT($S$5:S14)+1,"")</x:f>
      </x:c>
    </x:row>
    <x:row r="16">
      <x:c r="A16" s="27"/>
      <x:c r="B16" s="27"/>
      <x:c r="C16" s="27"/>
      <x:c r="D16" s="27"/>
      <x:c r="E16" s="27"/>
      <x:c r="F16" s="27"/>
      <x:c r="G16" s="27"/>
      <x:c r="H16" s="28"/>
      <x:c r="I16" s="29"/>
      <x:c r="J16" s="30"/>
      <x:c r="K16" s="27"/>
      <x:c r="L16" s="27"/>
      <x:c r="M16" s="27"/>
      <x:c r="N16" s="27"/>
      <x:c r="O16" s="28"/>
      <x:c r="P16" s="27"/>
      <x:c r="Q16" s="27"/>
      <x:c r="R16" s="32" t="str">
        <x:f>IF(AND($B16&lt;&gt;"",$G16&lt;&gt;"Done",$G16&lt;&gt;"Canceled",OR($L16="Yes",$H16&lt;=TODAY()+1,$F16="P0 Critical",$F16="P1 High",$G16="Blocked",$G16="Waiting on Others")),COUNT($R$5:R15)+1,"")</x:f>
      </x:c>
      <x:c r="S16" s="32" t="str">
        <x:f>IF(AND($B16&lt;&gt;"",$G16&lt;&gt;"Done",$G16&lt;&gt;"Canceled",OR($M16="Yes",$G16="Blocked",$G16="Waiting on Others")),COUNT($S$5:S15)+1,"")</x:f>
      </x:c>
    </x:row>
    <x:row r="17">
      <x:c r="A17" s="27"/>
      <x:c r="B17" s="27"/>
      <x:c r="C17" s="27"/>
      <x:c r="D17" s="27"/>
      <x:c r="E17" s="27"/>
      <x:c r="F17" s="27"/>
      <x:c r="G17" s="27"/>
      <x:c r="H17" s="28"/>
      <x:c r="I17" s="29"/>
      <x:c r="J17" s="30"/>
      <x:c r="K17" s="27"/>
      <x:c r="L17" s="27"/>
      <x:c r="M17" s="27"/>
      <x:c r="N17" s="27"/>
      <x:c r="O17" s="28"/>
      <x:c r="P17" s="27"/>
      <x:c r="Q17" s="27"/>
      <x:c r="R17" s="32" t="str">
        <x:f>IF(AND($B17&lt;&gt;"",$G17&lt;&gt;"Done",$G17&lt;&gt;"Canceled",OR($L17="Yes",$H17&lt;=TODAY()+1,$F17="P0 Critical",$F17="P1 High",$G17="Blocked",$G17="Waiting on Others")),COUNT($R$5:R16)+1,"")</x:f>
      </x:c>
      <x:c r="S17" s="32" t="str">
        <x:f>IF(AND($B17&lt;&gt;"",$G17&lt;&gt;"Done",$G17&lt;&gt;"Canceled",OR($M17="Yes",$G17="Blocked",$G17="Waiting on Others")),COUNT($S$5:S16)+1,"")</x:f>
      </x:c>
    </x:row>
    <x:row r="18">
      <x:c r="A18" s="27"/>
      <x:c r="B18" s="27"/>
      <x:c r="C18" s="27"/>
      <x:c r="D18" s="27"/>
      <x:c r="E18" s="27"/>
      <x:c r="F18" s="27"/>
      <x:c r="G18" s="27"/>
      <x:c r="H18" s="28"/>
      <x:c r="I18" s="29"/>
      <x:c r="J18" s="30"/>
      <x:c r="K18" s="27"/>
      <x:c r="L18" s="27"/>
      <x:c r="M18" s="27"/>
      <x:c r="N18" s="27"/>
      <x:c r="O18" s="28"/>
      <x:c r="P18" s="27"/>
      <x:c r="Q18" s="27"/>
      <x:c r="R18" s="32" t="str">
        <x:f>IF(AND($B18&lt;&gt;"",$G18&lt;&gt;"Done",$G18&lt;&gt;"Canceled",OR($L18="Yes",$H18&lt;=TODAY()+1,$F18="P0 Critical",$F18="P1 High",$G18="Blocked",$G18="Waiting on Others")),COUNT($R$5:R17)+1,"")</x:f>
      </x:c>
      <x:c r="S18" s="32" t="str">
        <x:f>IF(AND($B18&lt;&gt;"",$G18&lt;&gt;"Done",$G18&lt;&gt;"Canceled",OR($M18="Yes",$G18="Blocked",$G18="Waiting on Others")),COUNT($S$5:S17)+1,"")</x:f>
      </x:c>
    </x:row>
    <x:row r="19">
      <x:c r="A19" s="27"/>
      <x:c r="B19" s="27"/>
      <x:c r="C19" s="27"/>
      <x:c r="D19" s="27"/>
      <x:c r="E19" s="27"/>
      <x:c r="F19" s="27"/>
      <x:c r="G19" s="27"/>
      <x:c r="H19" s="28"/>
      <x:c r="I19" s="29"/>
      <x:c r="J19" s="30"/>
      <x:c r="K19" s="27"/>
      <x:c r="L19" s="27"/>
      <x:c r="M19" s="27"/>
      <x:c r="N19" s="27"/>
      <x:c r="O19" s="28"/>
      <x:c r="P19" s="27"/>
      <x:c r="Q19" s="27"/>
      <x:c r="R19" s="32" t="str">
        <x:f>IF(AND($B19&lt;&gt;"",$G19&lt;&gt;"Done",$G19&lt;&gt;"Canceled",OR($L19="Yes",$H19&lt;=TODAY()+1,$F19="P0 Critical",$F19="P1 High",$G19="Blocked",$G19="Waiting on Others")),COUNT($R$5:R18)+1,"")</x:f>
      </x:c>
      <x:c r="S19" s="32" t="str">
        <x:f>IF(AND($B19&lt;&gt;"",$G19&lt;&gt;"Done",$G19&lt;&gt;"Canceled",OR($M19="Yes",$G19="Blocked",$G19="Waiting on Others")),COUNT($S$5:S18)+1,"")</x:f>
      </x:c>
    </x:row>
    <x:row r="20">
      <x:c r="A20" s="27"/>
      <x:c r="B20" s="27"/>
      <x:c r="C20" s="27"/>
      <x:c r="D20" s="27"/>
      <x:c r="E20" s="27"/>
      <x:c r="F20" s="27"/>
      <x:c r="G20" s="27"/>
      <x:c r="H20" s="28"/>
      <x:c r="I20" s="29"/>
      <x:c r="J20" s="30"/>
      <x:c r="K20" s="27"/>
      <x:c r="L20" s="27"/>
      <x:c r="M20" s="27"/>
      <x:c r="N20" s="27"/>
      <x:c r="O20" s="28"/>
      <x:c r="P20" s="27"/>
      <x:c r="Q20" s="27"/>
      <x:c r="R20" s="32" t="str">
        <x:f>IF(AND($B20&lt;&gt;"",$G20&lt;&gt;"Done",$G20&lt;&gt;"Canceled",OR($L20="Yes",$H20&lt;=TODAY()+1,$F20="P0 Critical",$F20="P1 High",$G20="Blocked",$G20="Waiting on Others")),COUNT($R$5:R19)+1,"")</x:f>
      </x:c>
      <x:c r="S20" s="32" t="str">
        <x:f>IF(AND($B20&lt;&gt;"",$G20&lt;&gt;"Done",$G20&lt;&gt;"Canceled",OR($M20="Yes",$G20="Blocked",$G20="Waiting on Others")),COUNT($S$5:S19)+1,"")</x:f>
      </x:c>
    </x:row>
    <x:row r="21">
      <x:c r="A21" s="27"/>
      <x:c r="B21" s="27"/>
      <x:c r="C21" s="27"/>
      <x:c r="D21" s="27"/>
      <x:c r="E21" s="27"/>
      <x:c r="F21" s="27"/>
      <x:c r="G21" s="27"/>
      <x:c r="H21" s="28"/>
      <x:c r="I21" s="29"/>
      <x:c r="J21" s="30"/>
      <x:c r="K21" s="27"/>
      <x:c r="L21" s="27"/>
      <x:c r="M21" s="27"/>
      <x:c r="N21" s="27"/>
      <x:c r="O21" s="28"/>
      <x:c r="P21" s="27"/>
      <x:c r="Q21" s="27"/>
      <x:c r="R21" s="32" t="str">
        <x:f>IF(AND($B21&lt;&gt;"",$G21&lt;&gt;"Done",$G21&lt;&gt;"Canceled",OR($L21="Yes",$H21&lt;=TODAY()+1,$F21="P0 Critical",$F21="P1 High",$G21="Blocked",$G21="Waiting on Others")),COUNT($R$5:R20)+1,"")</x:f>
      </x:c>
      <x:c r="S21" s="32" t="str">
        <x:f>IF(AND($B21&lt;&gt;"",$G21&lt;&gt;"Done",$G21&lt;&gt;"Canceled",OR($M21="Yes",$G21="Blocked",$G21="Waiting on Others")),COUNT($S$5:S20)+1,"")</x:f>
      </x:c>
    </x:row>
    <x:row r="22">
      <x:c r="A22" s="27"/>
      <x:c r="B22" s="27"/>
      <x:c r="C22" s="27"/>
      <x:c r="D22" s="27"/>
      <x:c r="E22" s="27"/>
      <x:c r="F22" s="27"/>
      <x:c r="G22" s="27"/>
      <x:c r="H22" s="28"/>
      <x:c r="I22" s="29"/>
      <x:c r="J22" s="30"/>
      <x:c r="K22" s="27"/>
      <x:c r="L22" s="27"/>
      <x:c r="M22" s="27"/>
      <x:c r="N22" s="27"/>
      <x:c r="O22" s="28"/>
      <x:c r="P22" s="27"/>
      <x:c r="Q22" s="27"/>
      <x:c r="R22" s="32" t="str">
        <x:f>IF(AND($B22&lt;&gt;"",$G22&lt;&gt;"Done",$G22&lt;&gt;"Canceled",OR($L22="Yes",$H22&lt;=TODAY()+1,$F22="P0 Critical",$F22="P1 High",$G22="Blocked",$G22="Waiting on Others")),COUNT($R$5:R21)+1,"")</x:f>
      </x:c>
      <x:c r="S22" s="32" t="str">
        <x:f>IF(AND($B22&lt;&gt;"",$G22&lt;&gt;"Done",$G22&lt;&gt;"Canceled",OR($M22="Yes",$G22="Blocked",$G22="Waiting on Others")),COUNT($S$5:S21)+1,"")</x:f>
      </x:c>
    </x:row>
    <x:row r="23">
      <x:c r="A23" s="27"/>
      <x:c r="B23" s="27"/>
      <x:c r="C23" s="27"/>
      <x:c r="D23" s="27"/>
      <x:c r="E23" s="27"/>
      <x:c r="F23" s="27"/>
      <x:c r="G23" s="27"/>
      <x:c r="H23" s="28"/>
      <x:c r="I23" s="29"/>
      <x:c r="J23" s="30"/>
      <x:c r="K23" s="27"/>
      <x:c r="L23" s="27"/>
      <x:c r="M23" s="27"/>
      <x:c r="N23" s="27"/>
      <x:c r="O23" s="28"/>
      <x:c r="P23" s="27"/>
      <x:c r="Q23" s="27"/>
      <x:c r="R23" s="32" t="str">
        <x:f>IF(AND($B23&lt;&gt;"",$G23&lt;&gt;"Done",$G23&lt;&gt;"Canceled",OR($L23="Yes",$H23&lt;=TODAY()+1,$F23="P0 Critical",$F23="P1 High",$G23="Blocked",$G23="Waiting on Others")),COUNT($R$5:R22)+1,"")</x:f>
      </x:c>
      <x:c r="S23" s="32" t="str">
        <x:f>IF(AND($B23&lt;&gt;"",$G23&lt;&gt;"Done",$G23&lt;&gt;"Canceled",OR($M23="Yes",$G23="Blocked",$G23="Waiting on Others")),COUNT($S$5:S22)+1,"")</x:f>
      </x:c>
    </x:row>
    <x:row r="24">
      <x:c r="A24" s="27"/>
      <x:c r="B24" s="27"/>
      <x:c r="C24" s="27"/>
      <x:c r="D24" s="27"/>
      <x:c r="E24" s="27"/>
      <x:c r="F24" s="27"/>
      <x:c r="G24" s="27"/>
      <x:c r="H24" s="28"/>
      <x:c r="I24" s="29"/>
      <x:c r="J24" s="30"/>
      <x:c r="K24" s="27"/>
      <x:c r="L24" s="27"/>
      <x:c r="M24" s="27"/>
      <x:c r="N24" s="27"/>
      <x:c r="O24" s="28"/>
      <x:c r="P24" s="27"/>
      <x:c r="Q24" s="27"/>
      <x:c r="R24" s="32" t="str">
        <x:f>IF(AND($B24&lt;&gt;"",$G24&lt;&gt;"Done",$G24&lt;&gt;"Canceled",OR($L24="Yes",$H24&lt;=TODAY()+1,$F24="P0 Critical",$F24="P1 High",$G24="Blocked",$G24="Waiting on Others")),COUNT($R$5:R23)+1,"")</x:f>
      </x:c>
      <x:c r="S24" s="32" t="str">
        <x:f>IF(AND($B24&lt;&gt;"",$G24&lt;&gt;"Done",$G24&lt;&gt;"Canceled",OR($M24="Yes",$G24="Blocked",$G24="Waiting on Others")),COUNT($S$5:S23)+1,"")</x:f>
      </x:c>
    </x:row>
    <x:row r="25">
      <x:c r="A25" s="27"/>
      <x:c r="B25" s="27"/>
      <x:c r="C25" s="27"/>
      <x:c r="D25" s="27"/>
      <x:c r="E25" s="27"/>
      <x:c r="F25" s="27"/>
      <x:c r="G25" s="27"/>
      <x:c r="H25" s="28"/>
      <x:c r="I25" s="29"/>
      <x:c r="J25" s="30"/>
      <x:c r="K25" s="27"/>
      <x:c r="L25" s="27"/>
      <x:c r="M25" s="27"/>
      <x:c r="N25" s="27"/>
      <x:c r="O25" s="28"/>
      <x:c r="P25" s="27"/>
      <x:c r="Q25" s="27"/>
      <x:c r="R25" s="32" t="str">
        <x:f>IF(AND($B25&lt;&gt;"",$G25&lt;&gt;"Done",$G25&lt;&gt;"Canceled",OR($L25="Yes",$H25&lt;=TODAY()+1,$F25="P0 Critical",$F25="P1 High",$G25="Blocked",$G25="Waiting on Others")),COUNT($R$5:R24)+1,"")</x:f>
      </x:c>
      <x:c r="S25" s="32" t="str">
        <x:f>IF(AND($B25&lt;&gt;"",$G25&lt;&gt;"Done",$G25&lt;&gt;"Canceled",OR($M25="Yes",$G25="Blocked",$G25="Waiting on Others")),COUNT($S$5:S24)+1,"")</x:f>
      </x:c>
    </x:row>
    <x:row r="26">
      <x:c r="A26" s="27"/>
      <x:c r="B26" s="27"/>
      <x:c r="C26" s="27"/>
      <x:c r="D26" s="27"/>
      <x:c r="E26" s="27"/>
      <x:c r="F26" s="27"/>
      <x:c r="G26" s="27"/>
      <x:c r="H26" s="28"/>
      <x:c r="I26" s="29"/>
      <x:c r="J26" s="30"/>
      <x:c r="K26" s="27"/>
      <x:c r="L26" s="27"/>
      <x:c r="M26" s="27"/>
      <x:c r="N26" s="27"/>
      <x:c r="O26" s="28"/>
      <x:c r="P26" s="27"/>
      <x:c r="Q26" s="27"/>
      <x:c r="R26" s="32" t="str">
        <x:f>IF(AND($B26&lt;&gt;"",$G26&lt;&gt;"Done",$G26&lt;&gt;"Canceled",OR($L26="Yes",$H26&lt;=TODAY()+1,$F26="P0 Critical",$F26="P1 High",$G26="Blocked",$G26="Waiting on Others")),COUNT($R$5:R25)+1,"")</x:f>
      </x:c>
      <x:c r="S26" s="32" t="str">
        <x:f>IF(AND($B26&lt;&gt;"",$G26&lt;&gt;"Done",$G26&lt;&gt;"Canceled",OR($M26="Yes",$G26="Blocked",$G26="Waiting on Others")),COUNT($S$5:S25)+1,"")</x:f>
      </x:c>
    </x:row>
    <x:row r="27">
      <x:c r="A27" s="27"/>
      <x:c r="B27" s="27"/>
      <x:c r="C27" s="27"/>
      <x:c r="D27" s="27"/>
      <x:c r="E27" s="27"/>
      <x:c r="F27" s="27"/>
      <x:c r="G27" s="27"/>
      <x:c r="H27" s="28"/>
      <x:c r="I27" s="29"/>
      <x:c r="J27" s="30"/>
      <x:c r="K27" s="27"/>
      <x:c r="L27" s="27"/>
      <x:c r="M27" s="27"/>
      <x:c r="N27" s="27"/>
      <x:c r="O27" s="28"/>
      <x:c r="P27" s="27"/>
      <x:c r="Q27" s="27"/>
      <x:c r="R27" s="32" t="str">
        <x:f>IF(AND($B27&lt;&gt;"",$G27&lt;&gt;"Done",$G27&lt;&gt;"Canceled",OR($L27="Yes",$H27&lt;=TODAY()+1,$F27="P0 Critical",$F27="P1 High",$G27="Blocked",$G27="Waiting on Others")),COUNT($R$5:R26)+1,"")</x:f>
      </x:c>
      <x:c r="S27" s="32" t="str">
        <x:f>IF(AND($B27&lt;&gt;"",$G27&lt;&gt;"Done",$G27&lt;&gt;"Canceled",OR($M27="Yes",$G27="Blocked",$G27="Waiting on Others")),COUNT($S$5:S26)+1,"")</x:f>
      </x:c>
    </x:row>
    <x:row r="28">
      <x:c r="A28" s="27"/>
      <x:c r="B28" s="27"/>
      <x:c r="C28" s="27"/>
      <x:c r="D28" s="27"/>
      <x:c r="E28" s="27"/>
      <x:c r="F28" s="27"/>
      <x:c r="G28" s="27"/>
      <x:c r="H28" s="28"/>
      <x:c r="I28" s="29"/>
      <x:c r="J28" s="30"/>
      <x:c r="K28" s="27"/>
      <x:c r="L28" s="27"/>
      <x:c r="M28" s="27"/>
      <x:c r="N28" s="27"/>
      <x:c r="O28" s="28"/>
      <x:c r="P28" s="27"/>
      <x:c r="Q28" s="27"/>
      <x:c r="R28" s="32" t="str">
        <x:f>IF(AND($B28&lt;&gt;"",$G28&lt;&gt;"Done",$G28&lt;&gt;"Canceled",OR($L28="Yes",$H28&lt;=TODAY()+1,$F28="P0 Critical",$F28="P1 High",$G28="Blocked",$G28="Waiting on Others")),COUNT($R$5:R27)+1,"")</x:f>
      </x:c>
      <x:c r="S28" s="32" t="str">
        <x:f>IF(AND($B28&lt;&gt;"",$G28&lt;&gt;"Done",$G28&lt;&gt;"Canceled",OR($M28="Yes",$G28="Blocked",$G28="Waiting on Others")),COUNT($S$5:S27)+1,"")</x:f>
      </x:c>
    </x:row>
    <x:row r="29">
      <x:c r="A29" s="27"/>
      <x:c r="B29" s="27"/>
      <x:c r="C29" s="27"/>
      <x:c r="D29" s="27"/>
      <x:c r="E29" s="27"/>
      <x:c r="F29" s="27"/>
      <x:c r="G29" s="27"/>
      <x:c r="H29" s="28"/>
      <x:c r="I29" s="29"/>
      <x:c r="J29" s="30"/>
      <x:c r="K29" s="27"/>
      <x:c r="L29" s="27"/>
      <x:c r="M29" s="27"/>
      <x:c r="N29" s="27"/>
      <x:c r="O29" s="28"/>
      <x:c r="P29" s="27"/>
      <x:c r="Q29" s="27"/>
      <x:c r="R29" s="32" t="str">
        <x:f>IF(AND($B29&lt;&gt;"",$G29&lt;&gt;"Done",$G29&lt;&gt;"Canceled",OR($L29="Yes",$H29&lt;=TODAY()+1,$F29="P0 Critical",$F29="P1 High",$G29="Blocked",$G29="Waiting on Others")),COUNT($R$5:R28)+1,"")</x:f>
      </x:c>
      <x:c r="S29" s="32" t="str">
        <x:f>IF(AND($B29&lt;&gt;"",$G29&lt;&gt;"Done",$G29&lt;&gt;"Canceled",OR($M29="Yes",$G29="Blocked",$G29="Waiting on Others")),COUNT($S$5:S28)+1,"")</x:f>
      </x:c>
    </x:row>
    <x:row r="30">
      <x:c r="A30" s="27"/>
      <x:c r="B30" s="27"/>
      <x:c r="C30" s="27"/>
      <x:c r="D30" s="27"/>
      <x:c r="E30" s="27"/>
      <x:c r="F30" s="27"/>
      <x:c r="G30" s="27"/>
      <x:c r="H30" s="28"/>
      <x:c r="I30" s="29"/>
      <x:c r="J30" s="30"/>
      <x:c r="K30" s="27"/>
      <x:c r="L30" s="27"/>
      <x:c r="M30" s="27"/>
      <x:c r="N30" s="27"/>
      <x:c r="O30" s="28"/>
      <x:c r="P30" s="27"/>
      <x:c r="Q30" s="27"/>
      <x:c r="R30" s="32" t="str">
        <x:f>IF(AND($B30&lt;&gt;"",$G30&lt;&gt;"Done",$G30&lt;&gt;"Canceled",OR($L30="Yes",$H30&lt;=TODAY()+1,$F30="P0 Critical",$F30="P1 High",$G30="Blocked",$G30="Waiting on Others")),COUNT($R$5:R29)+1,"")</x:f>
      </x:c>
      <x:c r="S30" s="32" t="str">
        <x:f>IF(AND($B30&lt;&gt;"",$G30&lt;&gt;"Done",$G30&lt;&gt;"Canceled",OR($M30="Yes",$G30="Blocked",$G30="Waiting on Others")),COUNT($S$5:S29)+1,"")</x:f>
      </x:c>
    </x:row>
    <x:row r="31">
      <x:c r="A31" s="27"/>
      <x:c r="B31" s="27"/>
      <x:c r="C31" s="27"/>
      <x:c r="D31" s="27"/>
      <x:c r="E31" s="27"/>
      <x:c r="F31" s="27"/>
      <x:c r="G31" s="27"/>
      <x:c r="H31" s="28"/>
      <x:c r="I31" s="29"/>
      <x:c r="J31" s="30"/>
      <x:c r="K31" s="27"/>
      <x:c r="L31" s="27"/>
      <x:c r="M31" s="27"/>
      <x:c r="N31" s="27"/>
      <x:c r="O31" s="28"/>
      <x:c r="P31" s="27"/>
      <x:c r="Q31" s="27"/>
      <x:c r="R31" s="32" t="str">
        <x:f>IF(AND($B31&lt;&gt;"",$G31&lt;&gt;"Done",$G31&lt;&gt;"Canceled",OR($L31="Yes",$H31&lt;=TODAY()+1,$F31="P0 Critical",$F31="P1 High",$G31="Blocked",$G31="Waiting on Others")),COUNT($R$5:R30)+1,"")</x:f>
      </x:c>
      <x:c r="S31" s="32" t="str">
        <x:f>IF(AND($B31&lt;&gt;"",$G31&lt;&gt;"Done",$G31&lt;&gt;"Canceled",OR($M31="Yes",$G31="Blocked",$G31="Waiting on Others")),COUNT($S$5:S30)+1,"")</x:f>
      </x:c>
    </x:row>
    <x:row r="32">
      <x:c r="A32" s="27"/>
      <x:c r="B32" s="27"/>
      <x:c r="C32" s="27"/>
      <x:c r="D32" s="27"/>
      <x:c r="E32" s="27"/>
      <x:c r="F32" s="27"/>
      <x:c r="G32" s="27"/>
      <x:c r="H32" s="28"/>
      <x:c r="I32" s="29"/>
      <x:c r="J32" s="30"/>
      <x:c r="K32" s="27"/>
      <x:c r="L32" s="27"/>
      <x:c r="M32" s="27"/>
      <x:c r="N32" s="27"/>
      <x:c r="O32" s="28"/>
      <x:c r="P32" s="27"/>
      <x:c r="Q32" s="27"/>
      <x:c r="R32" s="32" t="str">
        <x:f>IF(AND($B32&lt;&gt;"",$G32&lt;&gt;"Done",$G32&lt;&gt;"Canceled",OR($L32="Yes",$H32&lt;=TODAY()+1,$F32="P0 Critical",$F32="P1 High",$G32="Blocked",$G32="Waiting on Others")),COUNT($R$5:R31)+1,"")</x:f>
      </x:c>
      <x:c r="S32" s="32" t="str">
        <x:f>IF(AND($B32&lt;&gt;"",$G32&lt;&gt;"Done",$G32&lt;&gt;"Canceled",OR($M32="Yes",$G32="Blocked",$G32="Waiting on Others")),COUNT($S$5:S31)+1,"")</x:f>
      </x:c>
    </x:row>
    <x:row r="33">
      <x:c r="A33" s="27"/>
      <x:c r="B33" s="27"/>
      <x:c r="C33" s="27"/>
      <x:c r="D33" s="27"/>
      <x:c r="E33" s="27"/>
      <x:c r="F33" s="27"/>
      <x:c r="G33" s="27"/>
      <x:c r="H33" s="28"/>
      <x:c r="I33" s="29"/>
      <x:c r="J33" s="30"/>
      <x:c r="K33" s="27"/>
      <x:c r="L33" s="27"/>
      <x:c r="M33" s="27"/>
      <x:c r="N33" s="27"/>
      <x:c r="O33" s="28"/>
      <x:c r="P33" s="27"/>
      <x:c r="Q33" s="27"/>
      <x:c r="R33" s="32" t="str">
        <x:f>IF(AND($B33&lt;&gt;"",$G33&lt;&gt;"Done",$G33&lt;&gt;"Canceled",OR($L33="Yes",$H33&lt;=TODAY()+1,$F33="P0 Critical",$F33="P1 High",$G33="Blocked",$G33="Waiting on Others")),COUNT($R$5:R32)+1,"")</x:f>
      </x:c>
      <x:c r="S33" s="32" t="str">
        <x:f>IF(AND($B33&lt;&gt;"",$G33&lt;&gt;"Done",$G33&lt;&gt;"Canceled",OR($M33="Yes",$G33="Blocked",$G33="Waiting on Others")),COUNT($S$5:S32)+1,"")</x:f>
      </x:c>
    </x:row>
    <x:row r="34">
      <x:c r="A34" s="27"/>
      <x:c r="B34" s="27"/>
      <x:c r="C34" s="27"/>
      <x:c r="D34" s="27"/>
      <x:c r="E34" s="27"/>
      <x:c r="F34" s="27"/>
      <x:c r="G34" s="27"/>
      <x:c r="H34" s="28"/>
      <x:c r="I34" s="29"/>
      <x:c r="J34" s="30"/>
      <x:c r="K34" s="27"/>
      <x:c r="L34" s="27"/>
      <x:c r="M34" s="27"/>
      <x:c r="N34" s="27"/>
      <x:c r="O34" s="28"/>
      <x:c r="P34" s="27"/>
      <x:c r="Q34" s="27"/>
      <x:c r="R34" s="32" t="str">
        <x:f>IF(AND($B34&lt;&gt;"",$G34&lt;&gt;"Done",$G34&lt;&gt;"Canceled",OR($L34="Yes",$H34&lt;=TODAY()+1,$F34="P0 Critical",$F34="P1 High",$G34="Blocked",$G34="Waiting on Others")),COUNT($R$5:R33)+1,"")</x:f>
      </x:c>
      <x:c r="S34" s="32" t="str">
        <x:f>IF(AND($B34&lt;&gt;"",$G34&lt;&gt;"Done",$G34&lt;&gt;"Canceled",OR($M34="Yes",$G34="Blocked",$G34="Waiting on Others")),COUNT($S$5:S33)+1,"")</x:f>
      </x:c>
    </x:row>
    <x:row r="35">
      <x:c r="A35" s="27"/>
      <x:c r="B35" s="27"/>
      <x:c r="C35" s="27"/>
      <x:c r="D35" s="27"/>
      <x:c r="E35" s="27"/>
      <x:c r="F35" s="27"/>
      <x:c r="G35" s="27"/>
      <x:c r="H35" s="28"/>
      <x:c r="I35" s="29"/>
      <x:c r="J35" s="30"/>
      <x:c r="K35" s="27"/>
      <x:c r="L35" s="27"/>
      <x:c r="M35" s="27"/>
      <x:c r="N35" s="27"/>
      <x:c r="O35" s="28"/>
      <x:c r="P35" s="27"/>
      <x:c r="Q35" s="27"/>
      <x:c r="R35" s="32" t="str">
        <x:f>IF(AND($B35&lt;&gt;"",$G35&lt;&gt;"Done",$G35&lt;&gt;"Canceled",OR($L35="Yes",$H35&lt;=TODAY()+1,$F35="P0 Critical",$F35="P1 High",$G35="Blocked",$G35="Waiting on Others")),COUNT($R$5:R34)+1,"")</x:f>
      </x:c>
      <x:c r="S35" s="32" t="str">
        <x:f>IF(AND($B35&lt;&gt;"",$G35&lt;&gt;"Done",$G35&lt;&gt;"Canceled",OR($M35="Yes",$G35="Blocked",$G35="Waiting on Others")),COUNT($S$5:S34)+1,"")</x:f>
      </x:c>
    </x:row>
    <x:row r="36">
      <x:c r="A36" s="27"/>
      <x:c r="B36" s="27"/>
      <x:c r="C36" s="27"/>
      <x:c r="D36" s="27"/>
      <x:c r="E36" s="27"/>
      <x:c r="F36" s="27"/>
      <x:c r="G36" s="27"/>
      <x:c r="H36" s="28"/>
      <x:c r="I36" s="29"/>
      <x:c r="J36" s="30"/>
      <x:c r="K36" s="27"/>
      <x:c r="L36" s="27"/>
      <x:c r="M36" s="27"/>
      <x:c r="N36" s="27"/>
      <x:c r="O36" s="28"/>
      <x:c r="P36" s="27"/>
      <x:c r="Q36" s="27"/>
      <x:c r="R36" s="32" t="str">
        <x:f>IF(AND($B36&lt;&gt;"",$G36&lt;&gt;"Done",$G36&lt;&gt;"Canceled",OR($L36="Yes",$H36&lt;=TODAY()+1,$F36="P0 Critical",$F36="P1 High",$G36="Blocked",$G36="Waiting on Others")),COUNT($R$5:R35)+1,"")</x:f>
      </x:c>
      <x:c r="S36" s="32" t="str">
        <x:f>IF(AND($B36&lt;&gt;"",$G36&lt;&gt;"Done",$G36&lt;&gt;"Canceled",OR($M36="Yes",$G36="Blocked",$G36="Waiting on Others")),COUNT($S$5:S35)+1,"")</x:f>
      </x:c>
    </x:row>
    <x:row r="37">
      <x:c r="A37" s="27"/>
      <x:c r="B37" s="27"/>
      <x:c r="C37" s="27"/>
      <x:c r="D37" s="27"/>
      <x:c r="E37" s="27"/>
      <x:c r="F37" s="27"/>
      <x:c r="G37" s="27"/>
      <x:c r="H37" s="28"/>
      <x:c r="I37" s="29"/>
      <x:c r="J37" s="30"/>
      <x:c r="K37" s="27"/>
      <x:c r="L37" s="27"/>
      <x:c r="M37" s="27"/>
      <x:c r="N37" s="27"/>
      <x:c r="O37" s="28"/>
      <x:c r="P37" s="27"/>
      <x:c r="Q37" s="27"/>
      <x:c r="R37" s="32" t="str">
        <x:f>IF(AND($B37&lt;&gt;"",$G37&lt;&gt;"Done",$G37&lt;&gt;"Canceled",OR($L37="Yes",$H37&lt;=TODAY()+1,$F37="P0 Critical",$F37="P1 High",$G37="Blocked",$G37="Waiting on Others")),COUNT($R$5:R36)+1,"")</x:f>
      </x:c>
      <x:c r="S37" s="32" t="str">
        <x:f>IF(AND($B37&lt;&gt;"",$G37&lt;&gt;"Done",$G37&lt;&gt;"Canceled",OR($M37="Yes",$G37="Blocked",$G37="Waiting on Others")),COUNT($S$5:S36)+1,"")</x:f>
      </x:c>
    </x:row>
    <x:row r="38">
      <x:c r="A38" s="27"/>
      <x:c r="B38" s="27"/>
      <x:c r="C38" s="27"/>
      <x:c r="D38" s="27"/>
      <x:c r="E38" s="27"/>
      <x:c r="F38" s="27"/>
      <x:c r="G38" s="27"/>
      <x:c r="H38" s="28"/>
      <x:c r="I38" s="29"/>
      <x:c r="J38" s="30"/>
      <x:c r="K38" s="27"/>
      <x:c r="L38" s="27"/>
      <x:c r="M38" s="27"/>
      <x:c r="N38" s="27"/>
      <x:c r="O38" s="28"/>
      <x:c r="P38" s="27"/>
      <x:c r="Q38" s="27"/>
      <x:c r="R38" s="32" t="str">
        <x:f>IF(AND($B38&lt;&gt;"",$G38&lt;&gt;"Done",$G38&lt;&gt;"Canceled",OR($L38="Yes",$H38&lt;=TODAY()+1,$F38="P0 Critical",$F38="P1 High",$G38="Blocked",$G38="Waiting on Others")),COUNT($R$5:R37)+1,"")</x:f>
      </x:c>
      <x:c r="S38" s="32" t="str">
        <x:f>IF(AND($B38&lt;&gt;"",$G38&lt;&gt;"Done",$G38&lt;&gt;"Canceled",OR($M38="Yes",$G38="Blocked",$G38="Waiting on Others")),COUNT($S$5:S37)+1,"")</x:f>
      </x:c>
    </x:row>
    <x:row r="39">
      <x:c r="A39" s="27"/>
      <x:c r="B39" s="27"/>
      <x:c r="C39" s="27"/>
      <x:c r="D39" s="27"/>
      <x:c r="E39" s="27"/>
      <x:c r="F39" s="27"/>
      <x:c r="G39" s="27"/>
      <x:c r="H39" s="28"/>
      <x:c r="I39" s="29"/>
      <x:c r="J39" s="30"/>
      <x:c r="K39" s="27"/>
      <x:c r="L39" s="27"/>
      <x:c r="M39" s="27"/>
      <x:c r="N39" s="27"/>
      <x:c r="O39" s="28"/>
      <x:c r="P39" s="27"/>
      <x:c r="Q39" s="27"/>
      <x:c r="R39" s="32" t="str">
        <x:f>IF(AND($B39&lt;&gt;"",$G39&lt;&gt;"Done",$G39&lt;&gt;"Canceled",OR($L39="Yes",$H39&lt;=TODAY()+1,$F39="P0 Critical",$F39="P1 High",$G39="Blocked",$G39="Waiting on Others")),COUNT($R$5:R38)+1,"")</x:f>
      </x:c>
      <x:c r="S39" s="32" t="str">
        <x:f>IF(AND($B39&lt;&gt;"",$G39&lt;&gt;"Done",$G39&lt;&gt;"Canceled",OR($M39="Yes",$G39="Blocked",$G39="Waiting on Others")),COUNT($S$5:S38)+1,"")</x:f>
      </x:c>
    </x:row>
    <x:row r="40">
      <x:c r="A40" s="27"/>
      <x:c r="B40" s="27"/>
      <x:c r="C40" s="27"/>
      <x:c r="D40" s="27"/>
      <x:c r="E40" s="27"/>
      <x:c r="F40" s="27"/>
      <x:c r="G40" s="27"/>
      <x:c r="H40" s="28"/>
      <x:c r="I40" s="29"/>
      <x:c r="J40" s="30"/>
      <x:c r="K40" s="27"/>
      <x:c r="L40" s="27"/>
      <x:c r="M40" s="27"/>
      <x:c r="N40" s="27"/>
      <x:c r="O40" s="28"/>
      <x:c r="P40" s="27"/>
      <x:c r="Q40" s="27"/>
      <x:c r="R40" s="32" t="str">
        <x:f>IF(AND($B40&lt;&gt;"",$G40&lt;&gt;"Done",$G40&lt;&gt;"Canceled",OR($L40="Yes",$H40&lt;=TODAY()+1,$F40="P0 Critical",$F40="P1 High",$G40="Blocked",$G40="Waiting on Others")),COUNT($R$5:R39)+1,"")</x:f>
      </x:c>
      <x:c r="S40" s="32" t="str">
        <x:f>IF(AND($B40&lt;&gt;"",$G40&lt;&gt;"Done",$G40&lt;&gt;"Canceled",OR($M40="Yes",$G40="Blocked",$G40="Waiting on Others")),COUNT($S$5:S39)+1,"")</x:f>
      </x:c>
    </x:row>
    <x:row r="41">
      <x:c r="A41" s="27"/>
      <x:c r="B41" s="27"/>
      <x:c r="C41" s="27"/>
      <x:c r="D41" s="27"/>
      <x:c r="E41" s="27"/>
      <x:c r="F41" s="27"/>
      <x:c r="G41" s="27"/>
      <x:c r="H41" s="28"/>
      <x:c r="I41" s="29"/>
      <x:c r="J41" s="30"/>
      <x:c r="K41" s="27"/>
      <x:c r="L41" s="27"/>
      <x:c r="M41" s="27"/>
      <x:c r="N41" s="27"/>
      <x:c r="O41" s="28"/>
      <x:c r="P41" s="27"/>
      <x:c r="Q41" s="27"/>
      <x:c r="R41" s="32" t="str">
        <x:f>IF(AND($B41&lt;&gt;"",$G41&lt;&gt;"Done",$G41&lt;&gt;"Canceled",OR($L41="Yes",$H41&lt;=TODAY()+1,$F41="P0 Critical",$F41="P1 High",$G41="Blocked",$G41="Waiting on Others")),COUNT($R$5:R40)+1,"")</x:f>
      </x:c>
      <x:c r="S41" s="32" t="str">
        <x:f>IF(AND($B41&lt;&gt;"",$G41&lt;&gt;"Done",$G41&lt;&gt;"Canceled",OR($M41="Yes",$G41="Blocked",$G41="Waiting on Others")),COUNT($S$5:S40)+1,"")</x:f>
      </x:c>
    </x:row>
    <x:row r="42">
      <x:c r="A42" s="27"/>
      <x:c r="B42" s="27"/>
      <x:c r="C42" s="27"/>
      <x:c r="D42" s="27"/>
      <x:c r="E42" s="27"/>
      <x:c r="F42" s="27"/>
      <x:c r="G42" s="27"/>
      <x:c r="H42" s="28"/>
      <x:c r="I42" s="29"/>
      <x:c r="J42" s="30"/>
      <x:c r="K42" s="27"/>
      <x:c r="L42" s="27"/>
      <x:c r="M42" s="27"/>
      <x:c r="N42" s="27"/>
      <x:c r="O42" s="28"/>
      <x:c r="P42" s="27"/>
      <x:c r="Q42" s="27"/>
      <x:c r="R42" s="32" t="str">
        <x:f>IF(AND($B42&lt;&gt;"",$G42&lt;&gt;"Done",$G42&lt;&gt;"Canceled",OR($L42="Yes",$H42&lt;=TODAY()+1,$F42="P0 Critical",$F42="P1 High",$G42="Blocked",$G42="Waiting on Others")),COUNT($R$5:R41)+1,"")</x:f>
      </x:c>
      <x:c r="S42" s="32" t="str">
        <x:f>IF(AND($B42&lt;&gt;"",$G42&lt;&gt;"Done",$G42&lt;&gt;"Canceled",OR($M42="Yes",$G42="Blocked",$G42="Waiting on Others")),COUNT($S$5:S41)+1,"")</x:f>
      </x:c>
    </x:row>
    <x:row r="43">
      <x:c r="A43" s="27"/>
      <x:c r="B43" s="27"/>
      <x:c r="C43" s="27"/>
      <x:c r="D43" s="27"/>
      <x:c r="E43" s="27"/>
      <x:c r="F43" s="27"/>
      <x:c r="G43" s="27"/>
      <x:c r="H43" s="28"/>
      <x:c r="I43" s="29"/>
      <x:c r="J43" s="30"/>
      <x:c r="K43" s="27"/>
      <x:c r="L43" s="27"/>
      <x:c r="M43" s="27"/>
      <x:c r="N43" s="27"/>
      <x:c r="O43" s="28"/>
      <x:c r="P43" s="27"/>
      <x:c r="Q43" s="27"/>
      <x:c r="R43" s="32" t="str">
        <x:f>IF(AND($B43&lt;&gt;"",$G43&lt;&gt;"Done",$G43&lt;&gt;"Canceled",OR($L43="Yes",$H43&lt;=TODAY()+1,$F43="P0 Critical",$F43="P1 High",$G43="Blocked",$G43="Waiting on Others")),COUNT($R$5:R42)+1,"")</x:f>
      </x:c>
      <x:c r="S43" s="32" t="str">
        <x:f>IF(AND($B43&lt;&gt;"",$G43&lt;&gt;"Done",$G43&lt;&gt;"Canceled",OR($M43="Yes",$G43="Blocked",$G43="Waiting on Others")),COUNT($S$5:S42)+1,"")</x:f>
      </x:c>
    </x:row>
    <x:row r="44">
      <x:c r="A44" s="27"/>
      <x:c r="B44" s="27"/>
      <x:c r="C44" s="27"/>
      <x:c r="D44" s="27"/>
      <x:c r="E44" s="27"/>
      <x:c r="F44" s="27"/>
      <x:c r="G44" s="27"/>
      <x:c r="H44" s="28"/>
      <x:c r="I44" s="29"/>
      <x:c r="J44" s="30"/>
      <x:c r="K44" s="27"/>
      <x:c r="L44" s="27"/>
      <x:c r="M44" s="27"/>
      <x:c r="N44" s="27"/>
      <x:c r="O44" s="28"/>
      <x:c r="P44" s="27"/>
      <x:c r="Q44" s="27"/>
      <x:c r="R44" s="32" t="str">
        <x:f>IF(AND($B44&lt;&gt;"",$G44&lt;&gt;"Done",$G44&lt;&gt;"Canceled",OR($L44="Yes",$H44&lt;=TODAY()+1,$F44="P0 Critical",$F44="P1 High",$G44="Blocked",$G44="Waiting on Others")),COUNT($R$5:R43)+1,"")</x:f>
      </x:c>
      <x:c r="S44" s="32" t="str">
        <x:f>IF(AND($B44&lt;&gt;"",$G44&lt;&gt;"Done",$G44&lt;&gt;"Canceled",OR($M44="Yes",$G44="Blocked",$G44="Waiting on Others")),COUNT($S$5:S43)+1,"")</x:f>
      </x:c>
    </x:row>
    <x:row r="45">
      <x:c r="A45" s="27"/>
      <x:c r="B45" s="27"/>
      <x:c r="C45" s="27"/>
      <x:c r="D45" s="27"/>
      <x:c r="E45" s="27"/>
      <x:c r="F45" s="27"/>
      <x:c r="G45" s="27"/>
      <x:c r="H45" s="28"/>
      <x:c r="I45" s="29"/>
      <x:c r="J45" s="30"/>
      <x:c r="K45" s="27"/>
      <x:c r="L45" s="27"/>
      <x:c r="M45" s="27"/>
      <x:c r="N45" s="27"/>
      <x:c r="O45" s="28"/>
      <x:c r="P45" s="27"/>
      <x:c r="Q45" s="27"/>
      <x:c r="R45" s="32" t="str">
        <x:f>IF(AND($B45&lt;&gt;"",$G45&lt;&gt;"Done",$G45&lt;&gt;"Canceled",OR($L45="Yes",$H45&lt;=TODAY()+1,$F45="P0 Critical",$F45="P1 High",$G45="Blocked",$G45="Waiting on Others")),COUNT($R$5:R44)+1,"")</x:f>
      </x:c>
      <x:c r="S45" s="32" t="str">
        <x:f>IF(AND($B45&lt;&gt;"",$G45&lt;&gt;"Done",$G45&lt;&gt;"Canceled",OR($M45="Yes",$G45="Blocked",$G45="Waiting on Others")),COUNT($S$5:S44)+1,"")</x:f>
      </x:c>
    </x:row>
    <x:row r="46">
      <x:c r="A46" s="27"/>
      <x:c r="B46" s="27"/>
      <x:c r="C46" s="27"/>
      <x:c r="D46" s="27"/>
      <x:c r="E46" s="27"/>
      <x:c r="F46" s="27"/>
      <x:c r="G46" s="27"/>
      <x:c r="H46" s="28"/>
      <x:c r="I46" s="29"/>
      <x:c r="J46" s="30"/>
      <x:c r="K46" s="27"/>
      <x:c r="L46" s="27"/>
      <x:c r="M46" s="27"/>
      <x:c r="N46" s="27"/>
      <x:c r="O46" s="28"/>
      <x:c r="P46" s="27"/>
      <x:c r="Q46" s="27"/>
      <x:c r="R46" s="32" t="str">
        <x:f>IF(AND($B46&lt;&gt;"",$G46&lt;&gt;"Done",$G46&lt;&gt;"Canceled",OR($L46="Yes",$H46&lt;=TODAY()+1,$F46="P0 Critical",$F46="P1 High",$G46="Blocked",$G46="Waiting on Others")),COUNT($R$5:R45)+1,"")</x:f>
      </x:c>
      <x:c r="S46" s="32" t="str">
        <x:f>IF(AND($B46&lt;&gt;"",$G46&lt;&gt;"Done",$G46&lt;&gt;"Canceled",OR($M46="Yes",$G46="Blocked",$G46="Waiting on Others")),COUNT($S$5:S45)+1,"")</x:f>
      </x:c>
    </x:row>
    <x:row r="47">
      <x:c r="A47" s="27"/>
      <x:c r="B47" s="27"/>
      <x:c r="C47" s="27"/>
      <x:c r="D47" s="27"/>
      <x:c r="E47" s="27"/>
      <x:c r="F47" s="27"/>
      <x:c r="G47" s="27"/>
      <x:c r="H47" s="28"/>
      <x:c r="I47" s="29"/>
      <x:c r="J47" s="30"/>
      <x:c r="K47" s="27"/>
      <x:c r="L47" s="27"/>
      <x:c r="M47" s="27"/>
      <x:c r="N47" s="27"/>
      <x:c r="O47" s="28"/>
      <x:c r="P47" s="27"/>
      <x:c r="Q47" s="27"/>
      <x:c r="R47" s="32" t="str">
        <x:f>IF(AND($B47&lt;&gt;"",$G47&lt;&gt;"Done",$G47&lt;&gt;"Canceled",OR($L47="Yes",$H47&lt;=TODAY()+1,$F47="P0 Critical",$F47="P1 High",$G47="Blocked",$G47="Waiting on Others")),COUNT($R$5:R46)+1,"")</x:f>
      </x:c>
      <x:c r="S47" s="32" t="str">
        <x:f>IF(AND($B47&lt;&gt;"",$G47&lt;&gt;"Done",$G47&lt;&gt;"Canceled",OR($M47="Yes",$G47="Blocked",$G47="Waiting on Others")),COUNT($S$5:S46)+1,"")</x:f>
      </x:c>
    </x:row>
    <x:row r="48">
      <x:c r="A48" s="27"/>
      <x:c r="B48" s="27"/>
      <x:c r="C48" s="27"/>
      <x:c r="D48" s="27"/>
      <x:c r="E48" s="27"/>
      <x:c r="F48" s="27"/>
      <x:c r="G48" s="27"/>
      <x:c r="H48" s="28"/>
      <x:c r="I48" s="29"/>
      <x:c r="J48" s="30"/>
      <x:c r="K48" s="27"/>
      <x:c r="L48" s="27"/>
      <x:c r="M48" s="27"/>
      <x:c r="N48" s="27"/>
      <x:c r="O48" s="28"/>
      <x:c r="P48" s="27"/>
      <x:c r="Q48" s="27"/>
      <x:c r="R48" s="32" t="str">
        <x:f>IF(AND($B48&lt;&gt;"",$G48&lt;&gt;"Done",$G48&lt;&gt;"Canceled",OR($L48="Yes",$H48&lt;=TODAY()+1,$F48="P0 Critical",$F48="P1 High",$G48="Blocked",$G48="Waiting on Others")),COUNT($R$5:R47)+1,"")</x:f>
      </x:c>
      <x:c r="S48" s="32" t="str">
        <x:f>IF(AND($B48&lt;&gt;"",$G48&lt;&gt;"Done",$G48&lt;&gt;"Canceled",OR($M48="Yes",$G48="Blocked",$G48="Waiting on Others")),COUNT($S$5:S47)+1,"")</x:f>
      </x:c>
    </x:row>
    <x:row r="49">
      <x:c r="A49" s="27"/>
      <x:c r="B49" s="27"/>
      <x:c r="C49" s="27"/>
      <x:c r="D49" s="27"/>
      <x:c r="E49" s="27"/>
      <x:c r="F49" s="27"/>
      <x:c r="G49" s="27"/>
      <x:c r="H49" s="28"/>
      <x:c r="I49" s="29"/>
      <x:c r="J49" s="30"/>
      <x:c r="K49" s="27"/>
      <x:c r="L49" s="27"/>
      <x:c r="M49" s="27"/>
      <x:c r="N49" s="27"/>
      <x:c r="O49" s="28"/>
      <x:c r="P49" s="27"/>
      <x:c r="Q49" s="27"/>
      <x:c r="R49" s="32" t="str">
        <x:f>IF(AND($B49&lt;&gt;"",$G49&lt;&gt;"Done",$G49&lt;&gt;"Canceled",OR($L49="Yes",$H49&lt;=TODAY()+1,$F49="P0 Critical",$F49="P1 High",$G49="Blocked",$G49="Waiting on Others")),COUNT($R$5:R48)+1,"")</x:f>
      </x:c>
      <x:c r="S49" s="32" t="str">
        <x:f>IF(AND($B49&lt;&gt;"",$G49&lt;&gt;"Done",$G49&lt;&gt;"Canceled",OR($M49="Yes",$G49="Blocked",$G49="Waiting on Others")),COUNT($S$5:S48)+1,"")</x:f>
      </x:c>
    </x:row>
    <x:row r="50">
      <x:c r="A50" s="27"/>
      <x:c r="B50" s="27"/>
      <x:c r="C50" s="27"/>
      <x:c r="D50" s="27"/>
      <x:c r="E50" s="27"/>
      <x:c r="F50" s="27"/>
      <x:c r="G50" s="27"/>
      <x:c r="H50" s="28"/>
      <x:c r="I50" s="29"/>
      <x:c r="J50" s="30"/>
      <x:c r="K50" s="27"/>
      <x:c r="L50" s="27"/>
      <x:c r="M50" s="27"/>
      <x:c r="N50" s="27"/>
      <x:c r="O50" s="28"/>
      <x:c r="P50" s="27"/>
      <x:c r="Q50" s="27"/>
      <x:c r="R50" s="32" t="str">
        <x:f>IF(AND($B50&lt;&gt;"",$G50&lt;&gt;"Done",$G50&lt;&gt;"Canceled",OR($L50="Yes",$H50&lt;=TODAY()+1,$F50="P0 Critical",$F50="P1 High",$G50="Blocked",$G50="Waiting on Others")),COUNT($R$5:R49)+1,"")</x:f>
      </x:c>
      <x:c r="S50" s="32" t="str">
        <x:f>IF(AND($B50&lt;&gt;"",$G50&lt;&gt;"Done",$G50&lt;&gt;"Canceled",OR($M50="Yes",$G50="Blocked",$G50="Waiting on Others")),COUNT($S$5:S49)+1,"")</x:f>
      </x:c>
    </x:row>
    <x:row r="51">
      <x:c r="A51" s="27"/>
      <x:c r="B51" s="27"/>
      <x:c r="C51" s="27"/>
      <x:c r="D51" s="27"/>
      <x:c r="E51" s="27"/>
      <x:c r="F51" s="27"/>
      <x:c r="G51" s="27"/>
      <x:c r="H51" s="28"/>
      <x:c r="I51" s="29"/>
      <x:c r="J51" s="30"/>
      <x:c r="K51" s="27"/>
      <x:c r="L51" s="27"/>
      <x:c r="M51" s="27"/>
      <x:c r="N51" s="27"/>
      <x:c r="O51" s="28"/>
      <x:c r="P51" s="27"/>
      <x:c r="Q51" s="27"/>
      <x:c r="R51" s="32" t="str">
        <x:f>IF(AND($B51&lt;&gt;"",$G51&lt;&gt;"Done",$G51&lt;&gt;"Canceled",OR($L51="Yes",$H51&lt;=TODAY()+1,$F51="P0 Critical",$F51="P1 High",$G51="Blocked",$G51="Waiting on Others")),COUNT($R$5:R50)+1,"")</x:f>
      </x:c>
      <x:c r="S51" s="32" t="str">
        <x:f>IF(AND($B51&lt;&gt;"",$G51&lt;&gt;"Done",$G51&lt;&gt;"Canceled",OR($M51="Yes",$G51="Blocked",$G51="Waiting on Others")),COUNT($S$5:S50)+1,"")</x:f>
      </x:c>
    </x:row>
    <x:row r="52">
      <x:c r="A52" s="27"/>
      <x:c r="B52" s="27"/>
      <x:c r="C52" s="27"/>
      <x:c r="D52" s="27"/>
      <x:c r="E52" s="27"/>
      <x:c r="F52" s="27"/>
      <x:c r="G52" s="27"/>
      <x:c r="H52" s="28"/>
      <x:c r="I52" s="29"/>
      <x:c r="J52" s="30"/>
      <x:c r="K52" s="27"/>
      <x:c r="L52" s="27"/>
      <x:c r="M52" s="27"/>
      <x:c r="N52" s="27"/>
      <x:c r="O52" s="28"/>
      <x:c r="P52" s="27"/>
      <x:c r="Q52" s="27"/>
      <x:c r="R52" s="32" t="str">
        <x:f>IF(AND($B52&lt;&gt;"",$G52&lt;&gt;"Done",$G52&lt;&gt;"Canceled",OR($L52="Yes",$H52&lt;=TODAY()+1,$F52="P0 Critical",$F52="P1 High",$G52="Blocked",$G52="Waiting on Others")),COUNT($R$5:R51)+1,"")</x:f>
      </x:c>
      <x:c r="S52" s="32" t="str">
        <x:f>IF(AND($B52&lt;&gt;"",$G52&lt;&gt;"Done",$G52&lt;&gt;"Canceled",OR($M52="Yes",$G52="Blocked",$G52="Waiting on Others")),COUNT($S$5:S51)+1,"")</x:f>
      </x:c>
    </x:row>
    <x:row r="53">
      <x:c r="A53" s="27"/>
      <x:c r="B53" s="27"/>
      <x:c r="C53" s="27"/>
      <x:c r="D53" s="27"/>
      <x:c r="E53" s="27"/>
      <x:c r="F53" s="27"/>
      <x:c r="G53" s="27"/>
      <x:c r="H53" s="28"/>
      <x:c r="I53" s="29"/>
      <x:c r="J53" s="30"/>
      <x:c r="K53" s="27"/>
      <x:c r="L53" s="27"/>
      <x:c r="M53" s="27"/>
      <x:c r="N53" s="27"/>
      <x:c r="O53" s="28"/>
      <x:c r="P53" s="27"/>
      <x:c r="Q53" s="27"/>
      <x:c r="R53" s="32" t="str">
        <x:f>IF(AND($B53&lt;&gt;"",$G53&lt;&gt;"Done",$G53&lt;&gt;"Canceled",OR($L53="Yes",$H53&lt;=TODAY()+1,$F53="P0 Critical",$F53="P1 High",$G53="Blocked",$G53="Waiting on Others")),COUNT($R$5:R52)+1,"")</x:f>
      </x:c>
      <x:c r="S53" s="32" t="str">
        <x:f>IF(AND($B53&lt;&gt;"",$G53&lt;&gt;"Done",$G53&lt;&gt;"Canceled",OR($M53="Yes",$G53="Blocked",$G53="Waiting on Others")),COUNT($S$5:S52)+1,"")</x:f>
      </x:c>
    </x:row>
    <x:row r="54">
      <x:c r="A54" s="27"/>
      <x:c r="B54" s="27"/>
      <x:c r="C54" s="27"/>
      <x:c r="D54" s="27"/>
      <x:c r="E54" s="27"/>
      <x:c r="F54" s="27"/>
      <x:c r="G54" s="27"/>
      <x:c r="H54" s="28"/>
      <x:c r="I54" s="29"/>
      <x:c r="J54" s="30"/>
      <x:c r="K54" s="27"/>
      <x:c r="L54" s="27"/>
      <x:c r="M54" s="27"/>
      <x:c r="N54" s="27"/>
      <x:c r="O54" s="28"/>
      <x:c r="P54" s="27"/>
      <x:c r="Q54" s="27"/>
      <x:c r="R54" s="32" t="str">
        <x:f>IF(AND($B54&lt;&gt;"",$G54&lt;&gt;"Done",$G54&lt;&gt;"Canceled",OR($L54="Yes",$H54&lt;=TODAY()+1,$F54="P0 Critical",$F54="P1 High",$G54="Blocked",$G54="Waiting on Others")),COUNT($R$5:R53)+1,"")</x:f>
      </x:c>
      <x:c r="S54" s="32" t="str">
        <x:f>IF(AND($B54&lt;&gt;"",$G54&lt;&gt;"Done",$G54&lt;&gt;"Canceled",OR($M54="Yes",$G54="Blocked",$G54="Waiting on Others")),COUNT($S$5:S53)+1,"")</x:f>
      </x:c>
    </x:row>
    <x:row r="55">
      <x:c r="A55" s="27"/>
      <x:c r="B55" s="27"/>
      <x:c r="C55" s="27"/>
      <x:c r="D55" s="27"/>
      <x:c r="E55" s="27"/>
      <x:c r="F55" s="27"/>
      <x:c r="G55" s="27"/>
      <x:c r="H55" s="28"/>
      <x:c r="I55" s="29"/>
      <x:c r="J55" s="30"/>
      <x:c r="K55" s="27"/>
      <x:c r="L55" s="27"/>
      <x:c r="M55" s="27"/>
      <x:c r="N55" s="27"/>
      <x:c r="O55" s="28"/>
      <x:c r="P55" s="27"/>
      <x:c r="Q55" s="27"/>
      <x:c r="R55" s="32" t="str">
        <x:f>IF(AND($B55&lt;&gt;"",$G55&lt;&gt;"Done",$G55&lt;&gt;"Canceled",OR($L55="Yes",$H55&lt;=TODAY()+1,$F55="P0 Critical",$F55="P1 High",$G55="Blocked",$G55="Waiting on Others")),COUNT($R$5:R54)+1,"")</x:f>
      </x:c>
      <x:c r="S55" s="32" t="str">
        <x:f>IF(AND($B55&lt;&gt;"",$G55&lt;&gt;"Done",$G55&lt;&gt;"Canceled",OR($M55="Yes",$G55="Blocked",$G55="Waiting on Others")),COUNT($S$5:S54)+1,"")</x:f>
      </x:c>
    </x:row>
    <x:row r="56">
      <x:c r="A56" s="27"/>
      <x:c r="B56" s="27"/>
      <x:c r="C56" s="27"/>
      <x:c r="D56" s="27"/>
      <x:c r="E56" s="27"/>
      <x:c r="F56" s="27"/>
      <x:c r="G56" s="27"/>
      <x:c r="H56" s="28"/>
      <x:c r="I56" s="29"/>
      <x:c r="J56" s="30"/>
      <x:c r="K56" s="27"/>
      <x:c r="L56" s="27"/>
      <x:c r="M56" s="27"/>
      <x:c r="N56" s="27"/>
      <x:c r="O56" s="28"/>
      <x:c r="P56" s="27"/>
      <x:c r="Q56" s="27"/>
      <x:c r="R56" s="32" t="str">
        <x:f>IF(AND($B56&lt;&gt;"",$G56&lt;&gt;"Done",$G56&lt;&gt;"Canceled",OR($L56="Yes",$H56&lt;=TODAY()+1,$F56="P0 Critical",$F56="P1 High",$G56="Blocked",$G56="Waiting on Others")),COUNT($R$5:R55)+1,"")</x:f>
      </x:c>
      <x:c r="S56" s="32" t="str">
        <x:f>IF(AND($B56&lt;&gt;"",$G56&lt;&gt;"Done",$G56&lt;&gt;"Canceled",OR($M56="Yes",$G56="Blocked",$G56="Waiting on Others")),COUNT($S$5:S55)+1,"")</x:f>
      </x:c>
    </x:row>
    <x:row r="57">
      <x:c r="A57" s="27"/>
      <x:c r="B57" s="27"/>
      <x:c r="C57" s="27"/>
      <x:c r="D57" s="27"/>
      <x:c r="E57" s="27"/>
      <x:c r="F57" s="27"/>
      <x:c r="G57" s="27"/>
      <x:c r="H57" s="28"/>
      <x:c r="I57" s="29"/>
      <x:c r="J57" s="30"/>
      <x:c r="K57" s="27"/>
      <x:c r="L57" s="27"/>
      <x:c r="M57" s="27"/>
      <x:c r="N57" s="27"/>
      <x:c r="O57" s="28"/>
      <x:c r="P57" s="27"/>
      <x:c r="Q57" s="27"/>
      <x:c r="R57" s="32" t="str">
        <x:f>IF(AND($B57&lt;&gt;"",$G57&lt;&gt;"Done",$G57&lt;&gt;"Canceled",OR($L57="Yes",$H57&lt;=TODAY()+1,$F57="P0 Critical",$F57="P1 High",$G57="Blocked",$G57="Waiting on Others")),COUNT($R$5:R56)+1,"")</x:f>
      </x:c>
      <x:c r="S57" s="32" t="str">
        <x:f>IF(AND($B57&lt;&gt;"",$G57&lt;&gt;"Done",$G57&lt;&gt;"Canceled",OR($M57="Yes",$G57="Blocked",$G57="Waiting on Others")),COUNT($S$5:S56)+1,"")</x:f>
      </x:c>
    </x:row>
    <x:row r="58">
      <x:c r="A58" s="27"/>
      <x:c r="B58" s="27"/>
      <x:c r="C58" s="27"/>
      <x:c r="D58" s="27"/>
      <x:c r="E58" s="27"/>
      <x:c r="F58" s="27"/>
      <x:c r="G58" s="27"/>
      <x:c r="H58" s="28"/>
      <x:c r="I58" s="29"/>
      <x:c r="J58" s="30"/>
      <x:c r="K58" s="27"/>
      <x:c r="L58" s="27"/>
      <x:c r="M58" s="27"/>
      <x:c r="N58" s="27"/>
      <x:c r="O58" s="28"/>
      <x:c r="P58" s="27"/>
      <x:c r="Q58" s="27"/>
      <x:c r="R58" s="32" t="str">
        <x:f>IF(AND($B58&lt;&gt;"",$G58&lt;&gt;"Done",$G58&lt;&gt;"Canceled",OR($L58="Yes",$H58&lt;=TODAY()+1,$F58="P0 Critical",$F58="P1 High",$G58="Blocked",$G58="Waiting on Others")),COUNT($R$5:R57)+1,"")</x:f>
      </x:c>
      <x:c r="S58" s="32" t="str">
        <x:f>IF(AND($B58&lt;&gt;"",$G58&lt;&gt;"Done",$G58&lt;&gt;"Canceled",OR($M58="Yes",$G58="Blocked",$G58="Waiting on Others")),COUNT($S$5:S57)+1,"")</x:f>
      </x:c>
    </x:row>
    <x:row r="59">
      <x:c r="A59" s="27"/>
      <x:c r="B59" s="27"/>
      <x:c r="C59" s="27"/>
      <x:c r="D59" s="27"/>
      <x:c r="E59" s="27"/>
      <x:c r="F59" s="27"/>
      <x:c r="G59" s="27"/>
      <x:c r="H59" s="28"/>
      <x:c r="I59" s="29"/>
      <x:c r="J59" s="30"/>
      <x:c r="K59" s="27"/>
      <x:c r="L59" s="27"/>
      <x:c r="M59" s="27"/>
      <x:c r="N59" s="27"/>
      <x:c r="O59" s="28"/>
      <x:c r="P59" s="27"/>
      <x:c r="Q59" s="27"/>
      <x:c r="R59" s="32" t="str">
        <x:f>IF(AND($B59&lt;&gt;"",$G59&lt;&gt;"Done",$G59&lt;&gt;"Canceled",OR($L59="Yes",$H59&lt;=TODAY()+1,$F59="P0 Critical",$F59="P1 High",$G59="Blocked",$G59="Waiting on Others")),COUNT($R$5:R58)+1,"")</x:f>
      </x:c>
      <x:c r="S59" s="32" t="str">
        <x:f>IF(AND($B59&lt;&gt;"",$G59&lt;&gt;"Done",$G59&lt;&gt;"Canceled",OR($M59="Yes",$G59="Blocked",$G59="Waiting on Others")),COUNT($S$5:S58)+1,"")</x:f>
      </x:c>
    </x:row>
    <x:row r="60">
      <x:c r="A60" s="27"/>
      <x:c r="B60" s="27"/>
      <x:c r="C60" s="27"/>
      <x:c r="D60" s="27"/>
      <x:c r="E60" s="27"/>
      <x:c r="F60" s="27"/>
      <x:c r="G60" s="27"/>
      <x:c r="H60" s="28"/>
      <x:c r="I60" s="29"/>
      <x:c r="J60" s="30"/>
      <x:c r="K60" s="27"/>
      <x:c r="L60" s="27"/>
      <x:c r="M60" s="27"/>
      <x:c r="N60" s="27"/>
      <x:c r="O60" s="28"/>
      <x:c r="P60" s="27"/>
      <x:c r="Q60" s="27"/>
      <x:c r="R60" s="32" t="str">
        <x:f>IF(AND($B60&lt;&gt;"",$G60&lt;&gt;"Done",$G60&lt;&gt;"Canceled",OR($L60="Yes",$H60&lt;=TODAY()+1,$F60="P0 Critical",$F60="P1 High",$G60="Blocked",$G60="Waiting on Others")),COUNT($R$5:R59)+1,"")</x:f>
      </x:c>
      <x:c r="S60" s="32" t="str">
        <x:f>IF(AND($B60&lt;&gt;"",$G60&lt;&gt;"Done",$G60&lt;&gt;"Canceled",OR($M60="Yes",$G60="Blocked",$G60="Waiting on Others")),COUNT($S$5:S59)+1,"")</x:f>
      </x:c>
    </x:row>
    <x:row r="61">
      <x:c r="A61" s="27"/>
      <x:c r="B61" s="27"/>
      <x:c r="C61" s="27"/>
      <x:c r="D61" s="27"/>
      <x:c r="E61" s="27"/>
      <x:c r="F61" s="27"/>
      <x:c r="G61" s="27"/>
      <x:c r="H61" s="28"/>
      <x:c r="I61" s="29"/>
      <x:c r="J61" s="30"/>
      <x:c r="K61" s="27"/>
      <x:c r="L61" s="27"/>
      <x:c r="M61" s="27"/>
      <x:c r="N61" s="27"/>
      <x:c r="O61" s="28"/>
      <x:c r="P61" s="27"/>
      <x:c r="Q61" s="27"/>
      <x:c r="R61" s="32" t="str">
        <x:f>IF(AND($B61&lt;&gt;"",$G61&lt;&gt;"Done",$G61&lt;&gt;"Canceled",OR($L61="Yes",$H61&lt;=TODAY()+1,$F61="P0 Critical",$F61="P1 High",$G61="Blocked",$G61="Waiting on Others")),COUNT($R$5:R60)+1,"")</x:f>
      </x:c>
      <x:c r="S61" s="32" t="str">
        <x:f>IF(AND($B61&lt;&gt;"",$G61&lt;&gt;"Done",$G61&lt;&gt;"Canceled",OR($M61="Yes",$G61="Blocked",$G61="Waiting on Others")),COUNT($S$5:S60)+1,"")</x:f>
      </x:c>
    </x:row>
    <x:row r="62">
      <x:c r="A62" s="27"/>
      <x:c r="B62" s="27"/>
      <x:c r="C62" s="27"/>
      <x:c r="D62" s="27"/>
      <x:c r="E62" s="27"/>
      <x:c r="F62" s="27"/>
      <x:c r="G62" s="27"/>
      <x:c r="H62" s="28"/>
      <x:c r="I62" s="29"/>
      <x:c r="J62" s="30"/>
      <x:c r="K62" s="27"/>
      <x:c r="L62" s="27"/>
      <x:c r="M62" s="27"/>
      <x:c r="N62" s="27"/>
      <x:c r="O62" s="28"/>
      <x:c r="P62" s="27"/>
      <x:c r="Q62" s="27"/>
      <x:c r="R62" s="32" t="str">
        <x:f>IF(AND($B62&lt;&gt;"",$G62&lt;&gt;"Done",$G62&lt;&gt;"Canceled",OR($L62="Yes",$H62&lt;=TODAY()+1,$F62="P0 Critical",$F62="P1 High",$G62="Blocked",$G62="Waiting on Others")),COUNT($R$5:R61)+1,"")</x:f>
      </x:c>
      <x:c r="S62" s="32" t="str">
        <x:f>IF(AND($B62&lt;&gt;"",$G62&lt;&gt;"Done",$G62&lt;&gt;"Canceled",OR($M62="Yes",$G62="Blocked",$G62="Waiting on Others")),COUNT($S$5:S61)+1,"")</x:f>
      </x:c>
    </x:row>
    <x:row r="63">
      <x:c r="A63" s="27"/>
      <x:c r="B63" s="27"/>
      <x:c r="C63" s="27"/>
      <x:c r="D63" s="27"/>
      <x:c r="E63" s="27"/>
      <x:c r="F63" s="27"/>
      <x:c r="G63" s="27"/>
      <x:c r="H63" s="28"/>
      <x:c r="I63" s="29"/>
      <x:c r="J63" s="30"/>
      <x:c r="K63" s="27"/>
      <x:c r="L63" s="27"/>
      <x:c r="M63" s="27"/>
      <x:c r="N63" s="27"/>
      <x:c r="O63" s="28"/>
      <x:c r="P63" s="27"/>
      <x:c r="Q63" s="27"/>
      <x:c r="R63" s="32" t="str">
        <x:f>IF(AND($B63&lt;&gt;"",$G63&lt;&gt;"Done",$G63&lt;&gt;"Canceled",OR($L63="Yes",$H63&lt;=TODAY()+1,$F63="P0 Critical",$F63="P1 High",$G63="Blocked",$G63="Waiting on Others")),COUNT($R$5:R62)+1,"")</x:f>
      </x:c>
      <x:c r="S63" s="32" t="str">
        <x:f>IF(AND($B63&lt;&gt;"",$G63&lt;&gt;"Done",$G63&lt;&gt;"Canceled",OR($M63="Yes",$G63="Blocked",$G63="Waiting on Others")),COUNT($S$5:S62)+1,"")</x:f>
      </x:c>
    </x:row>
    <x:row r="64">
      <x:c r="A64" s="27"/>
      <x:c r="B64" s="27"/>
      <x:c r="C64" s="27"/>
      <x:c r="D64" s="27"/>
      <x:c r="E64" s="27"/>
      <x:c r="F64" s="27"/>
      <x:c r="G64" s="27"/>
      <x:c r="H64" s="28"/>
      <x:c r="I64" s="29"/>
      <x:c r="J64" s="30"/>
      <x:c r="K64" s="27"/>
      <x:c r="L64" s="27"/>
      <x:c r="M64" s="27"/>
      <x:c r="N64" s="27"/>
      <x:c r="O64" s="28"/>
      <x:c r="P64" s="27"/>
      <x:c r="Q64" s="27"/>
      <x:c r="R64" s="32" t="str">
        <x:f>IF(AND($B64&lt;&gt;"",$G64&lt;&gt;"Done",$G64&lt;&gt;"Canceled",OR($L64="Yes",$H64&lt;=TODAY()+1,$F64="P0 Critical",$F64="P1 High",$G64="Blocked",$G64="Waiting on Others")),COUNT($R$5:R63)+1,"")</x:f>
      </x:c>
      <x:c r="S64" s="32" t="str">
        <x:f>IF(AND($B64&lt;&gt;"",$G64&lt;&gt;"Done",$G64&lt;&gt;"Canceled",OR($M64="Yes",$G64="Blocked",$G64="Waiting on Others")),COUNT($S$5:S63)+1,"")</x:f>
      </x:c>
    </x:row>
    <x:row r="65">
      <x:c r="A65" s="27"/>
      <x:c r="B65" s="27"/>
      <x:c r="C65" s="27"/>
      <x:c r="D65" s="27"/>
      <x:c r="E65" s="27"/>
      <x:c r="F65" s="27"/>
      <x:c r="G65" s="27"/>
      <x:c r="H65" s="28"/>
      <x:c r="I65" s="29"/>
      <x:c r="J65" s="30"/>
      <x:c r="K65" s="27"/>
      <x:c r="L65" s="27"/>
      <x:c r="M65" s="27"/>
      <x:c r="N65" s="27"/>
      <x:c r="O65" s="28"/>
      <x:c r="P65" s="27"/>
      <x:c r="Q65" s="27"/>
      <x:c r="R65" s="32" t="str">
        <x:f>IF(AND($B65&lt;&gt;"",$G65&lt;&gt;"Done",$G65&lt;&gt;"Canceled",OR($L65="Yes",$H65&lt;=TODAY()+1,$F65="P0 Critical",$F65="P1 High",$G65="Blocked",$G65="Waiting on Others")),COUNT($R$5:R64)+1,"")</x:f>
      </x:c>
      <x:c r="S65" s="32" t="str">
        <x:f>IF(AND($B65&lt;&gt;"",$G65&lt;&gt;"Done",$G65&lt;&gt;"Canceled",OR($M65="Yes",$G65="Blocked",$G65="Waiting on Others")),COUNT($S$5:S64)+1,"")</x:f>
      </x:c>
    </x:row>
    <x:row r="66">
      <x:c r="A66" s="27"/>
      <x:c r="B66" s="27"/>
      <x:c r="C66" s="27"/>
      <x:c r="D66" s="27"/>
      <x:c r="E66" s="27"/>
      <x:c r="F66" s="27"/>
      <x:c r="G66" s="27"/>
      <x:c r="H66" s="28"/>
      <x:c r="I66" s="29"/>
      <x:c r="J66" s="30"/>
      <x:c r="K66" s="27"/>
      <x:c r="L66" s="27"/>
      <x:c r="M66" s="27"/>
      <x:c r="N66" s="27"/>
      <x:c r="O66" s="28"/>
      <x:c r="P66" s="27"/>
      <x:c r="Q66" s="27"/>
      <x:c r="R66" s="32" t="str">
        <x:f>IF(AND($B66&lt;&gt;"",$G66&lt;&gt;"Done",$G66&lt;&gt;"Canceled",OR($L66="Yes",$H66&lt;=TODAY()+1,$F66="P0 Critical",$F66="P1 High",$G66="Blocked",$G66="Waiting on Others")),COUNT($R$5:R65)+1,"")</x:f>
      </x:c>
      <x:c r="S66" s="32" t="str">
        <x:f>IF(AND($B66&lt;&gt;"",$G66&lt;&gt;"Done",$G66&lt;&gt;"Canceled",OR($M66="Yes",$G66="Blocked",$G66="Waiting on Others")),COUNT($S$5:S65)+1,"")</x:f>
      </x:c>
    </x:row>
    <x:row r="67">
      <x:c r="A67" s="27"/>
      <x:c r="B67" s="27"/>
      <x:c r="C67" s="27"/>
      <x:c r="D67" s="27"/>
      <x:c r="E67" s="27"/>
      <x:c r="F67" s="27"/>
      <x:c r="G67" s="27"/>
      <x:c r="H67" s="28"/>
      <x:c r="I67" s="29"/>
      <x:c r="J67" s="30"/>
      <x:c r="K67" s="27"/>
      <x:c r="L67" s="27"/>
      <x:c r="M67" s="27"/>
      <x:c r="N67" s="27"/>
      <x:c r="O67" s="28"/>
      <x:c r="P67" s="27"/>
      <x:c r="Q67" s="27"/>
      <x:c r="R67" s="32" t="str">
        <x:f>IF(AND($B67&lt;&gt;"",$G67&lt;&gt;"Done",$G67&lt;&gt;"Canceled",OR($L67="Yes",$H67&lt;=TODAY()+1,$F67="P0 Critical",$F67="P1 High",$G67="Blocked",$G67="Waiting on Others")),COUNT($R$5:R66)+1,"")</x:f>
      </x:c>
      <x:c r="S67" s="32" t="str">
        <x:f>IF(AND($B67&lt;&gt;"",$G67&lt;&gt;"Done",$G67&lt;&gt;"Canceled",OR($M67="Yes",$G67="Blocked",$G67="Waiting on Others")),COUNT($S$5:S66)+1,"")</x:f>
      </x:c>
    </x:row>
    <x:row r="68">
      <x:c r="A68" s="27"/>
      <x:c r="B68" s="27"/>
      <x:c r="C68" s="27"/>
      <x:c r="D68" s="27"/>
      <x:c r="E68" s="27"/>
      <x:c r="F68" s="27"/>
      <x:c r="G68" s="27"/>
      <x:c r="H68" s="28"/>
      <x:c r="I68" s="29"/>
      <x:c r="J68" s="30"/>
      <x:c r="K68" s="27"/>
      <x:c r="L68" s="27"/>
      <x:c r="M68" s="27"/>
      <x:c r="N68" s="27"/>
      <x:c r="O68" s="28"/>
      <x:c r="P68" s="27"/>
      <x:c r="Q68" s="27"/>
      <x:c r="R68" s="32" t="str">
        <x:f>IF(AND($B68&lt;&gt;"",$G68&lt;&gt;"Done",$G68&lt;&gt;"Canceled",OR($L68="Yes",$H68&lt;=TODAY()+1,$F68="P0 Critical",$F68="P1 High",$G68="Blocked",$G68="Waiting on Others")),COUNT($R$5:R67)+1,"")</x:f>
      </x:c>
      <x:c r="S68" s="32" t="str">
        <x:f>IF(AND($B68&lt;&gt;"",$G68&lt;&gt;"Done",$G68&lt;&gt;"Canceled",OR($M68="Yes",$G68="Blocked",$G68="Waiting on Others")),COUNT($S$5:S67)+1,"")</x:f>
      </x:c>
    </x:row>
    <x:row r="69">
      <x:c r="A69" s="27"/>
      <x:c r="B69" s="27"/>
      <x:c r="C69" s="27"/>
      <x:c r="D69" s="27"/>
      <x:c r="E69" s="27"/>
      <x:c r="F69" s="27"/>
      <x:c r="G69" s="27"/>
      <x:c r="H69" s="28"/>
      <x:c r="I69" s="29"/>
      <x:c r="J69" s="30"/>
      <x:c r="K69" s="27"/>
      <x:c r="L69" s="27"/>
      <x:c r="M69" s="27"/>
      <x:c r="N69" s="27"/>
      <x:c r="O69" s="28"/>
      <x:c r="P69" s="27"/>
      <x:c r="Q69" s="27"/>
      <x:c r="R69" s="32" t="str">
        <x:f>IF(AND($B69&lt;&gt;"",$G69&lt;&gt;"Done",$G69&lt;&gt;"Canceled",OR($L69="Yes",$H69&lt;=TODAY()+1,$F69="P0 Critical",$F69="P1 High",$G69="Blocked",$G69="Waiting on Others")),COUNT($R$5:R68)+1,"")</x:f>
      </x:c>
      <x:c r="S69" s="32" t="str">
        <x:f>IF(AND($B69&lt;&gt;"",$G69&lt;&gt;"Done",$G69&lt;&gt;"Canceled",OR($M69="Yes",$G69="Blocked",$G69="Waiting on Others")),COUNT($S$5:S68)+1,"")</x:f>
      </x:c>
    </x:row>
    <x:row r="70">
      <x:c r="A70" s="27"/>
      <x:c r="B70" s="27"/>
      <x:c r="C70" s="27"/>
      <x:c r="D70" s="27"/>
      <x:c r="E70" s="27"/>
      <x:c r="F70" s="27"/>
      <x:c r="G70" s="27"/>
      <x:c r="H70" s="28"/>
      <x:c r="I70" s="29"/>
      <x:c r="J70" s="30"/>
      <x:c r="K70" s="27"/>
      <x:c r="L70" s="27"/>
      <x:c r="M70" s="27"/>
      <x:c r="N70" s="27"/>
      <x:c r="O70" s="28"/>
      <x:c r="P70" s="27"/>
      <x:c r="Q70" s="27"/>
      <x:c r="R70" s="32" t="str">
        <x:f>IF(AND($B70&lt;&gt;"",$G70&lt;&gt;"Done",$G70&lt;&gt;"Canceled",OR($L70="Yes",$H70&lt;=TODAY()+1,$F70="P0 Critical",$F70="P1 High",$G70="Blocked",$G70="Waiting on Others")),COUNT($R$5:R69)+1,"")</x:f>
      </x:c>
      <x:c r="S70" s="32" t="str">
        <x:f>IF(AND($B70&lt;&gt;"",$G70&lt;&gt;"Done",$G70&lt;&gt;"Canceled",OR($M70="Yes",$G70="Blocked",$G70="Waiting on Others")),COUNT($S$5:S69)+1,"")</x:f>
      </x:c>
    </x:row>
    <x:row r="71">
      <x:c r="A71" s="27"/>
      <x:c r="B71" s="27"/>
      <x:c r="C71" s="27"/>
      <x:c r="D71" s="27"/>
      <x:c r="E71" s="27"/>
      <x:c r="F71" s="27"/>
      <x:c r="G71" s="27"/>
      <x:c r="H71" s="28"/>
      <x:c r="I71" s="29"/>
      <x:c r="J71" s="30"/>
      <x:c r="K71" s="27"/>
      <x:c r="L71" s="27"/>
      <x:c r="M71" s="27"/>
      <x:c r="N71" s="27"/>
      <x:c r="O71" s="28"/>
      <x:c r="P71" s="27"/>
      <x:c r="Q71" s="27"/>
      <x:c r="R71" s="32" t="str">
        <x:f>IF(AND($B71&lt;&gt;"",$G71&lt;&gt;"Done",$G71&lt;&gt;"Canceled",OR($L71="Yes",$H71&lt;=TODAY()+1,$F71="P0 Critical",$F71="P1 High",$G71="Blocked",$G71="Waiting on Others")),COUNT($R$5:R70)+1,"")</x:f>
      </x:c>
      <x:c r="S71" s="32" t="str">
        <x:f>IF(AND($B71&lt;&gt;"",$G71&lt;&gt;"Done",$G71&lt;&gt;"Canceled",OR($M71="Yes",$G71="Blocked",$G71="Waiting on Others")),COUNT($S$5:S70)+1,"")</x:f>
      </x:c>
    </x:row>
    <x:row r="72">
      <x:c r="A72" s="27"/>
      <x:c r="B72" s="27"/>
      <x:c r="C72" s="27"/>
      <x:c r="D72" s="27"/>
      <x:c r="E72" s="27"/>
      <x:c r="F72" s="27"/>
      <x:c r="G72" s="27"/>
      <x:c r="H72" s="28"/>
      <x:c r="I72" s="29"/>
      <x:c r="J72" s="30"/>
      <x:c r="K72" s="27"/>
      <x:c r="L72" s="27"/>
      <x:c r="M72" s="27"/>
      <x:c r="N72" s="27"/>
      <x:c r="O72" s="28"/>
      <x:c r="P72" s="27"/>
      <x:c r="Q72" s="27"/>
      <x:c r="R72" s="32" t="str">
        <x:f>IF(AND($B72&lt;&gt;"",$G72&lt;&gt;"Done",$G72&lt;&gt;"Canceled",OR($L72="Yes",$H72&lt;=TODAY()+1,$F72="P0 Critical",$F72="P1 High",$G72="Blocked",$G72="Waiting on Others")),COUNT($R$5:R71)+1,"")</x:f>
      </x:c>
      <x:c r="S72" s="32" t="str">
        <x:f>IF(AND($B72&lt;&gt;"",$G72&lt;&gt;"Done",$G72&lt;&gt;"Canceled",OR($M72="Yes",$G72="Blocked",$G72="Waiting on Others")),COUNT($S$5:S71)+1,"")</x:f>
      </x:c>
    </x:row>
    <x:row r="73">
      <x:c r="A73" s="27"/>
      <x:c r="B73" s="27"/>
      <x:c r="C73" s="27"/>
      <x:c r="D73" s="27"/>
      <x:c r="E73" s="27"/>
      <x:c r="F73" s="27"/>
      <x:c r="G73" s="27"/>
      <x:c r="H73" s="28"/>
      <x:c r="I73" s="29"/>
      <x:c r="J73" s="30"/>
      <x:c r="K73" s="27"/>
      <x:c r="L73" s="27"/>
      <x:c r="M73" s="27"/>
      <x:c r="N73" s="27"/>
      <x:c r="O73" s="28"/>
      <x:c r="P73" s="27"/>
      <x:c r="Q73" s="27"/>
      <x:c r="R73" s="32" t="str">
        <x:f>IF(AND($B73&lt;&gt;"",$G73&lt;&gt;"Done",$G73&lt;&gt;"Canceled",OR($L73="Yes",$H73&lt;=TODAY()+1,$F73="P0 Critical",$F73="P1 High",$G73="Blocked",$G73="Waiting on Others")),COUNT($R$5:R72)+1,"")</x:f>
      </x:c>
      <x:c r="S73" s="32" t="str">
        <x:f>IF(AND($B73&lt;&gt;"",$G73&lt;&gt;"Done",$G73&lt;&gt;"Canceled",OR($M73="Yes",$G73="Blocked",$G73="Waiting on Others")),COUNT($S$5:S72)+1,"")</x:f>
      </x:c>
    </x:row>
    <x:row r="74">
      <x:c r="A74" s="27"/>
      <x:c r="B74" s="27"/>
      <x:c r="C74" s="27"/>
      <x:c r="D74" s="27"/>
      <x:c r="E74" s="27"/>
      <x:c r="F74" s="27"/>
      <x:c r="G74" s="27"/>
      <x:c r="H74" s="28"/>
      <x:c r="I74" s="29"/>
      <x:c r="J74" s="30"/>
      <x:c r="K74" s="27"/>
      <x:c r="L74" s="27"/>
      <x:c r="M74" s="27"/>
      <x:c r="N74" s="27"/>
      <x:c r="O74" s="28"/>
      <x:c r="P74" s="27"/>
      <x:c r="Q74" s="27"/>
      <x:c r="R74" s="32" t="str">
        <x:f>IF(AND($B74&lt;&gt;"",$G74&lt;&gt;"Done",$G74&lt;&gt;"Canceled",OR($L74="Yes",$H74&lt;=TODAY()+1,$F74="P0 Critical",$F74="P1 High",$G74="Blocked",$G74="Waiting on Others")),COUNT($R$5:R73)+1,"")</x:f>
      </x:c>
      <x:c r="S74" s="32" t="str">
        <x:f>IF(AND($B74&lt;&gt;"",$G74&lt;&gt;"Done",$G74&lt;&gt;"Canceled",OR($M74="Yes",$G74="Blocked",$G74="Waiting on Others")),COUNT($S$5:S73)+1,"")</x:f>
      </x:c>
    </x:row>
    <x:row r="75">
      <x:c r="A75" s="27"/>
      <x:c r="B75" s="27"/>
      <x:c r="C75" s="27"/>
      <x:c r="D75" s="27"/>
      <x:c r="E75" s="27"/>
      <x:c r="F75" s="27"/>
      <x:c r="G75" s="27"/>
      <x:c r="H75" s="28"/>
      <x:c r="I75" s="29"/>
      <x:c r="J75" s="30"/>
      <x:c r="K75" s="27"/>
      <x:c r="L75" s="27"/>
      <x:c r="M75" s="27"/>
      <x:c r="N75" s="27"/>
      <x:c r="O75" s="28"/>
      <x:c r="P75" s="27"/>
      <x:c r="Q75" s="27"/>
      <x:c r="R75" s="32" t="str">
        <x:f>IF(AND($B75&lt;&gt;"",$G75&lt;&gt;"Done",$G75&lt;&gt;"Canceled",OR($L75="Yes",$H75&lt;=TODAY()+1,$F75="P0 Critical",$F75="P1 High",$G75="Blocked",$G75="Waiting on Others")),COUNT($R$5:R74)+1,"")</x:f>
      </x:c>
      <x:c r="S75" s="32" t="str">
        <x:f>IF(AND($B75&lt;&gt;"",$G75&lt;&gt;"Done",$G75&lt;&gt;"Canceled",OR($M75="Yes",$G75="Blocked",$G75="Waiting on Others")),COUNT($S$5:S74)+1,"")</x:f>
      </x:c>
    </x:row>
    <x:row r="76">
      <x:c r="A76" s="27"/>
      <x:c r="B76" s="27"/>
      <x:c r="C76" s="27"/>
      <x:c r="D76" s="27"/>
      <x:c r="E76" s="27"/>
      <x:c r="F76" s="27"/>
      <x:c r="G76" s="27"/>
      <x:c r="H76" s="28"/>
      <x:c r="I76" s="29"/>
      <x:c r="J76" s="30"/>
      <x:c r="K76" s="27"/>
      <x:c r="L76" s="27"/>
      <x:c r="M76" s="27"/>
      <x:c r="N76" s="27"/>
      <x:c r="O76" s="28"/>
      <x:c r="P76" s="27"/>
      <x:c r="Q76" s="27"/>
      <x:c r="R76" s="32" t="str">
        <x:f>IF(AND($B76&lt;&gt;"",$G76&lt;&gt;"Done",$G76&lt;&gt;"Canceled",OR($L76="Yes",$H76&lt;=TODAY()+1,$F76="P0 Critical",$F76="P1 High",$G76="Blocked",$G76="Waiting on Others")),COUNT($R$5:R75)+1,"")</x:f>
      </x:c>
      <x:c r="S76" s="32" t="str">
        <x:f>IF(AND($B76&lt;&gt;"",$G76&lt;&gt;"Done",$G76&lt;&gt;"Canceled",OR($M76="Yes",$G76="Blocked",$G76="Waiting on Others")),COUNT($S$5:S75)+1,"")</x:f>
      </x:c>
    </x:row>
    <x:row r="77">
      <x:c r="A77" s="27"/>
      <x:c r="B77" s="27"/>
      <x:c r="C77" s="27"/>
      <x:c r="D77" s="27"/>
      <x:c r="E77" s="27"/>
      <x:c r="F77" s="27"/>
      <x:c r="G77" s="27"/>
      <x:c r="H77" s="28"/>
      <x:c r="I77" s="29"/>
      <x:c r="J77" s="30"/>
      <x:c r="K77" s="27"/>
      <x:c r="L77" s="27"/>
      <x:c r="M77" s="27"/>
      <x:c r="N77" s="27"/>
      <x:c r="O77" s="28"/>
      <x:c r="P77" s="27"/>
      <x:c r="Q77" s="27"/>
      <x:c r="R77" s="32" t="str">
        <x:f>IF(AND($B77&lt;&gt;"",$G77&lt;&gt;"Done",$G77&lt;&gt;"Canceled",OR($L77="Yes",$H77&lt;=TODAY()+1,$F77="P0 Critical",$F77="P1 High",$G77="Blocked",$G77="Waiting on Others")),COUNT($R$5:R76)+1,"")</x:f>
      </x:c>
      <x:c r="S77" s="32" t="str">
        <x:f>IF(AND($B77&lt;&gt;"",$G77&lt;&gt;"Done",$G77&lt;&gt;"Canceled",OR($M77="Yes",$G77="Blocked",$G77="Waiting on Others")),COUNT($S$5:S76)+1,"")</x:f>
      </x:c>
    </x:row>
    <x:row r="78">
      <x:c r="A78" s="27"/>
      <x:c r="B78" s="27"/>
      <x:c r="C78" s="27"/>
      <x:c r="D78" s="27"/>
      <x:c r="E78" s="27"/>
      <x:c r="F78" s="27"/>
      <x:c r="G78" s="27"/>
      <x:c r="H78" s="28"/>
      <x:c r="I78" s="29"/>
      <x:c r="J78" s="30"/>
      <x:c r="K78" s="27"/>
      <x:c r="L78" s="27"/>
      <x:c r="M78" s="27"/>
      <x:c r="N78" s="27"/>
      <x:c r="O78" s="28"/>
      <x:c r="P78" s="27"/>
      <x:c r="Q78" s="27"/>
      <x:c r="R78" s="32" t="str">
        <x:f>IF(AND($B78&lt;&gt;"",$G78&lt;&gt;"Done",$G78&lt;&gt;"Canceled",OR($L78="Yes",$H78&lt;=TODAY()+1,$F78="P0 Critical",$F78="P1 High",$G78="Blocked",$G78="Waiting on Others")),COUNT($R$5:R77)+1,"")</x:f>
      </x:c>
      <x:c r="S78" s="32" t="str">
        <x:f>IF(AND($B78&lt;&gt;"",$G78&lt;&gt;"Done",$G78&lt;&gt;"Canceled",OR($M78="Yes",$G78="Blocked",$G78="Waiting on Others")),COUNT($S$5:S77)+1,"")</x:f>
      </x:c>
    </x:row>
    <x:row r="79">
      <x:c r="A79" s="27"/>
      <x:c r="B79" s="27"/>
      <x:c r="C79" s="27"/>
      <x:c r="D79" s="27"/>
      <x:c r="E79" s="27"/>
      <x:c r="F79" s="27"/>
      <x:c r="G79" s="27"/>
      <x:c r="H79" s="28"/>
      <x:c r="I79" s="29"/>
      <x:c r="J79" s="30"/>
      <x:c r="K79" s="27"/>
      <x:c r="L79" s="27"/>
      <x:c r="M79" s="27"/>
      <x:c r="N79" s="27"/>
      <x:c r="O79" s="28"/>
      <x:c r="P79" s="27"/>
      <x:c r="Q79" s="27"/>
      <x:c r="R79" s="32" t="str">
        <x:f>IF(AND($B79&lt;&gt;"",$G79&lt;&gt;"Done",$G79&lt;&gt;"Canceled",OR($L79="Yes",$H79&lt;=TODAY()+1,$F79="P0 Critical",$F79="P1 High",$G79="Blocked",$G79="Waiting on Others")),COUNT($R$5:R78)+1,"")</x:f>
      </x:c>
      <x:c r="S79" s="32" t="str">
        <x:f>IF(AND($B79&lt;&gt;"",$G79&lt;&gt;"Done",$G79&lt;&gt;"Canceled",OR($M79="Yes",$G79="Blocked",$G79="Waiting on Others")),COUNT($S$5:S78)+1,"")</x:f>
      </x:c>
    </x:row>
    <x:row r="80">
      <x:c r="A80" s="27"/>
      <x:c r="B80" s="27"/>
      <x:c r="C80" s="27"/>
      <x:c r="D80" s="27"/>
      <x:c r="E80" s="27"/>
      <x:c r="F80" s="27"/>
      <x:c r="G80" s="27"/>
      <x:c r="H80" s="28"/>
      <x:c r="I80" s="29"/>
      <x:c r="J80" s="30"/>
      <x:c r="K80" s="27"/>
      <x:c r="L80" s="27"/>
      <x:c r="M80" s="27"/>
      <x:c r="N80" s="27"/>
      <x:c r="O80" s="28"/>
      <x:c r="P80" s="27"/>
      <x:c r="Q80" s="27"/>
      <x:c r="R80" s="32" t="str">
        <x:f>IF(AND($B80&lt;&gt;"",$G80&lt;&gt;"Done",$G80&lt;&gt;"Canceled",OR($L80="Yes",$H80&lt;=TODAY()+1,$F80="P0 Critical",$F80="P1 High",$G80="Blocked",$G80="Waiting on Others")),COUNT($R$5:R79)+1,"")</x:f>
      </x:c>
      <x:c r="S80" s="32" t="str">
        <x:f>IF(AND($B80&lt;&gt;"",$G80&lt;&gt;"Done",$G80&lt;&gt;"Canceled",OR($M80="Yes",$G80="Blocked",$G80="Waiting on Others")),COUNT($S$5:S79)+1,"")</x:f>
      </x:c>
    </x:row>
    <x:row r="81">
      <x:c r="A81" s="27"/>
      <x:c r="B81" s="27"/>
      <x:c r="C81" s="27"/>
      <x:c r="D81" s="27"/>
      <x:c r="E81" s="27"/>
      <x:c r="F81" s="27"/>
      <x:c r="G81" s="27"/>
      <x:c r="H81" s="28"/>
      <x:c r="I81" s="29"/>
      <x:c r="J81" s="30"/>
      <x:c r="K81" s="27"/>
      <x:c r="L81" s="27"/>
      <x:c r="M81" s="27"/>
      <x:c r="N81" s="27"/>
      <x:c r="O81" s="28"/>
      <x:c r="P81" s="27"/>
      <x:c r="Q81" s="27"/>
      <x:c r="R81" s="32" t="str">
        <x:f>IF(AND($B81&lt;&gt;"",$G81&lt;&gt;"Done",$G81&lt;&gt;"Canceled",OR($L81="Yes",$H81&lt;=TODAY()+1,$F81="P0 Critical",$F81="P1 High",$G81="Blocked",$G81="Waiting on Others")),COUNT($R$5:R80)+1,"")</x:f>
      </x:c>
      <x:c r="S81" s="32" t="str">
        <x:f>IF(AND($B81&lt;&gt;"",$G81&lt;&gt;"Done",$G81&lt;&gt;"Canceled",OR($M81="Yes",$G81="Blocked",$G81="Waiting on Others")),COUNT($S$5:S80)+1,"")</x:f>
      </x:c>
    </x:row>
    <x:row r="82">
      <x:c r="A82" s="27"/>
      <x:c r="B82" s="27"/>
      <x:c r="C82" s="27"/>
      <x:c r="D82" s="27"/>
      <x:c r="E82" s="27"/>
      <x:c r="F82" s="27"/>
      <x:c r="G82" s="27"/>
      <x:c r="H82" s="28"/>
      <x:c r="I82" s="29"/>
      <x:c r="J82" s="30"/>
      <x:c r="K82" s="27"/>
      <x:c r="L82" s="27"/>
      <x:c r="M82" s="27"/>
      <x:c r="N82" s="27"/>
      <x:c r="O82" s="28"/>
      <x:c r="P82" s="27"/>
      <x:c r="Q82" s="27"/>
      <x:c r="R82" s="32" t="str">
        <x:f>IF(AND($B82&lt;&gt;"",$G82&lt;&gt;"Done",$G82&lt;&gt;"Canceled",OR($L82="Yes",$H82&lt;=TODAY()+1,$F82="P0 Critical",$F82="P1 High",$G82="Blocked",$G82="Waiting on Others")),COUNT($R$5:R81)+1,"")</x:f>
      </x:c>
      <x:c r="S82" s="32" t="str">
        <x:f>IF(AND($B82&lt;&gt;"",$G82&lt;&gt;"Done",$G82&lt;&gt;"Canceled",OR($M82="Yes",$G82="Blocked",$G82="Waiting on Others")),COUNT($S$5:S81)+1,"")</x:f>
      </x:c>
    </x:row>
    <x:row r="83">
      <x:c r="A83" s="27"/>
      <x:c r="B83" s="27"/>
      <x:c r="C83" s="27"/>
      <x:c r="D83" s="27"/>
      <x:c r="E83" s="27"/>
      <x:c r="F83" s="27"/>
      <x:c r="G83" s="27"/>
      <x:c r="H83" s="28"/>
      <x:c r="I83" s="29"/>
      <x:c r="J83" s="30"/>
      <x:c r="K83" s="27"/>
      <x:c r="L83" s="27"/>
      <x:c r="M83" s="27"/>
      <x:c r="N83" s="27"/>
      <x:c r="O83" s="28"/>
      <x:c r="P83" s="27"/>
      <x:c r="Q83" s="27"/>
      <x:c r="R83" s="32" t="str">
        <x:f>IF(AND($B83&lt;&gt;"",$G83&lt;&gt;"Done",$G83&lt;&gt;"Canceled",OR($L83="Yes",$H83&lt;=TODAY()+1,$F83="P0 Critical",$F83="P1 High",$G83="Blocked",$G83="Waiting on Others")),COUNT($R$5:R82)+1,"")</x:f>
      </x:c>
      <x:c r="S83" s="32" t="str">
        <x:f>IF(AND($B83&lt;&gt;"",$G83&lt;&gt;"Done",$G83&lt;&gt;"Canceled",OR($M83="Yes",$G83="Blocked",$G83="Waiting on Others")),COUNT($S$5:S82)+1,"")</x:f>
      </x:c>
    </x:row>
    <x:row r="84">
      <x:c r="A84" s="27"/>
      <x:c r="B84" s="27"/>
      <x:c r="C84" s="27"/>
      <x:c r="D84" s="27"/>
      <x:c r="E84" s="27"/>
      <x:c r="F84" s="27"/>
      <x:c r="G84" s="27"/>
      <x:c r="H84" s="28"/>
      <x:c r="I84" s="29"/>
      <x:c r="J84" s="30"/>
      <x:c r="K84" s="27"/>
      <x:c r="L84" s="27"/>
      <x:c r="M84" s="27"/>
      <x:c r="N84" s="27"/>
      <x:c r="O84" s="28"/>
      <x:c r="P84" s="27"/>
      <x:c r="Q84" s="27"/>
      <x:c r="R84" s="32" t="str">
        <x:f>IF(AND($B84&lt;&gt;"",$G84&lt;&gt;"Done",$G84&lt;&gt;"Canceled",OR($L84="Yes",$H84&lt;=TODAY()+1,$F84="P0 Critical",$F84="P1 High",$G84="Blocked",$G84="Waiting on Others")),COUNT($R$5:R83)+1,"")</x:f>
      </x:c>
      <x:c r="S84" s="32" t="str">
        <x:f>IF(AND($B84&lt;&gt;"",$G84&lt;&gt;"Done",$G84&lt;&gt;"Canceled",OR($M84="Yes",$G84="Blocked",$G84="Waiting on Others")),COUNT($S$5:S83)+1,"")</x:f>
      </x:c>
    </x:row>
    <x:row r="85">
      <x:c r="A85" s="27"/>
      <x:c r="B85" s="27"/>
      <x:c r="C85" s="27"/>
      <x:c r="D85" s="27"/>
      <x:c r="E85" s="27"/>
      <x:c r="F85" s="27"/>
      <x:c r="G85" s="27"/>
      <x:c r="H85" s="28"/>
      <x:c r="I85" s="29"/>
      <x:c r="J85" s="30"/>
      <x:c r="K85" s="27"/>
      <x:c r="L85" s="27"/>
      <x:c r="M85" s="27"/>
      <x:c r="N85" s="27"/>
      <x:c r="O85" s="28"/>
      <x:c r="P85" s="27"/>
      <x:c r="Q85" s="27"/>
      <x:c r="R85" s="32" t="str">
        <x:f>IF(AND($B85&lt;&gt;"",$G85&lt;&gt;"Done",$G85&lt;&gt;"Canceled",OR($L85="Yes",$H85&lt;=TODAY()+1,$F85="P0 Critical",$F85="P1 High",$G85="Blocked",$G85="Waiting on Others")),COUNT($R$5:R84)+1,"")</x:f>
      </x:c>
      <x:c r="S85" s="32" t="str">
        <x:f>IF(AND($B85&lt;&gt;"",$G85&lt;&gt;"Done",$G85&lt;&gt;"Canceled",OR($M85="Yes",$G85="Blocked",$G85="Waiting on Others")),COUNT($S$5:S84)+1,"")</x:f>
      </x:c>
    </x:row>
    <x:row r="86">
      <x:c r="A86" s="27"/>
      <x:c r="B86" s="27"/>
      <x:c r="C86" s="27"/>
      <x:c r="D86" s="27"/>
      <x:c r="E86" s="27"/>
      <x:c r="F86" s="27"/>
      <x:c r="G86" s="27"/>
      <x:c r="H86" s="28"/>
      <x:c r="I86" s="29"/>
      <x:c r="J86" s="30"/>
      <x:c r="K86" s="27"/>
      <x:c r="L86" s="27"/>
      <x:c r="M86" s="27"/>
      <x:c r="N86" s="27"/>
      <x:c r="O86" s="28"/>
      <x:c r="P86" s="27"/>
      <x:c r="Q86" s="27"/>
      <x:c r="R86" s="32" t="str">
        <x:f>IF(AND($B86&lt;&gt;"",$G86&lt;&gt;"Done",$G86&lt;&gt;"Canceled",OR($L86="Yes",$H86&lt;=TODAY()+1,$F86="P0 Critical",$F86="P1 High",$G86="Blocked",$G86="Waiting on Others")),COUNT($R$5:R85)+1,"")</x:f>
      </x:c>
      <x:c r="S86" s="32" t="str">
        <x:f>IF(AND($B86&lt;&gt;"",$G86&lt;&gt;"Done",$G86&lt;&gt;"Canceled",OR($M86="Yes",$G86="Blocked",$G86="Waiting on Others")),COUNT($S$5:S85)+1,"")</x:f>
      </x:c>
    </x:row>
    <x:row r="87">
      <x:c r="A87" s="27"/>
      <x:c r="B87" s="27"/>
      <x:c r="C87" s="27"/>
      <x:c r="D87" s="27"/>
      <x:c r="E87" s="27"/>
      <x:c r="F87" s="27"/>
      <x:c r="G87" s="27"/>
      <x:c r="H87" s="28"/>
      <x:c r="I87" s="29"/>
      <x:c r="J87" s="30"/>
      <x:c r="K87" s="27"/>
      <x:c r="L87" s="27"/>
      <x:c r="M87" s="27"/>
      <x:c r="N87" s="27"/>
      <x:c r="O87" s="28"/>
      <x:c r="P87" s="27"/>
      <x:c r="Q87" s="27"/>
      <x:c r="R87" s="32" t="str">
        <x:f>IF(AND($B87&lt;&gt;"",$G87&lt;&gt;"Done",$G87&lt;&gt;"Canceled",OR($L87="Yes",$H87&lt;=TODAY()+1,$F87="P0 Critical",$F87="P1 High",$G87="Blocked",$G87="Waiting on Others")),COUNT($R$5:R86)+1,"")</x:f>
      </x:c>
      <x:c r="S87" s="32" t="str">
        <x:f>IF(AND($B87&lt;&gt;"",$G87&lt;&gt;"Done",$G87&lt;&gt;"Canceled",OR($M87="Yes",$G87="Blocked",$G87="Waiting on Others")),COUNT($S$5:S86)+1,"")</x:f>
      </x:c>
    </x:row>
    <x:row r="88">
      <x:c r="A88" s="27"/>
      <x:c r="B88" s="27"/>
      <x:c r="C88" s="27"/>
      <x:c r="D88" s="27"/>
      <x:c r="E88" s="27"/>
      <x:c r="F88" s="27"/>
      <x:c r="G88" s="27"/>
      <x:c r="H88" s="28"/>
      <x:c r="I88" s="29"/>
      <x:c r="J88" s="30"/>
      <x:c r="K88" s="27"/>
      <x:c r="L88" s="27"/>
      <x:c r="M88" s="27"/>
      <x:c r="N88" s="27"/>
      <x:c r="O88" s="28"/>
      <x:c r="P88" s="27"/>
      <x:c r="Q88" s="27"/>
      <x:c r="R88" s="32" t="str">
        <x:f>IF(AND($B88&lt;&gt;"",$G88&lt;&gt;"Done",$G88&lt;&gt;"Canceled",OR($L88="Yes",$H88&lt;=TODAY()+1,$F88="P0 Critical",$F88="P1 High",$G88="Blocked",$G88="Waiting on Others")),COUNT($R$5:R87)+1,"")</x:f>
      </x:c>
      <x:c r="S88" s="32" t="str">
        <x:f>IF(AND($B88&lt;&gt;"",$G88&lt;&gt;"Done",$G88&lt;&gt;"Canceled",OR($M88="Yes",$G88="Blocked",$G88="Waiting on Others")),COUNT($S$5:S87)+1,"")</x:f>
      </x:c>
    </x:row>
    <x:row r="89">
      <x:c r="A89" s="27"/>
      <x:c r="B89" s="27"/>
      <x:c r="C89" s="27"/>
      <x:c r="D89" s="27"/>
      <x:c r="E89" s="27"/>
      <x:c r="F89" s="27"/>
      <x:c r="G89" s="27"/>
      <x:c r="H89" s="28"/>
      <x:c r="I89" s="29"/>
      <x:c r="J89" s="30"/>
      <x:c r="K89" s="27"/>
      <x:c r="L89" s="27"/>
      <x:c r="M89" s="27"/>
      <x:c r="N89" s="27"/>
      <x:c r="O89" s="28"/>
      <x:c r="P89" s="27"/>
      <x:c r="Q89" s="27"/>
      <x:c r="R89" s="32" t="str">
        <x:f>IF(AND($B89&lt;&gt;"",$G89&lt;&gt;"Done",$G89&lt;&gt;"Canceled",OR($L89="Yes",$H89&lt;=TODAY()+1,$F89="P0 Critical",$F89="P1 High",$G89="Blocked",$G89="Waiting on Others")),COUNT($R$5:R88)+1,"")</x:f>
      </x:c>
      <x:c r="S89" s="32" t="str">
        <x:f>IF(AND($B89&lt;&gt;"",$G89&lt;&gt;"Done",$G89&lt;&gt;"Canceled",OR($M89="Yes",$G89="Blocked",$G89="Waiting on Others")),COUNT($S$5:S88)+1,"")</x:f>
      </x:c>
    </x:row>
    <x:row r="90">
      <x:c r="A90" s="27"/>
      <x:c r="B90" s="27"/>
      <x:c r="C90" s="27"/>
      <x:c r="D90" s="27"/>
      <x:c r="E90" s="27"/>
      <x:c r="F90" s="27"/>
      <x:c r="G90" s="27"/>
      <x:c r="H90" s="28"/>
      <x:c r="I90" s="29"/>
      <x:c r="J90" s="30"/>
      <x:c r="K90" s="27"/>
      <x:c r="L90" s="27"/>
      <x:c r="M90" s="27"/>
      <x:c r="N90" s="27"/>
      <x:c r="O90" s="28"/>
      <x:c r="P90" s="27"/>
      <x:c r="Q90" s="27"/>
      <x:c r="R90" s="32" t="str">
        <x:f>IF(AND($B90&lt;&gt;"",$G90&lt;&gt;"Done",$G90&lt;&gt;"Canceled",OR($L90="Yes",$H90&lt;=TODAY()+1,$F90="P0 Critical",$F90="P1 High",$G90="Blocked",$G90="Waiting on Others")),COUNT($R$5:R89)+1,"")</x:f>
      </x:c>
      <x:c r="S90" s="32" t="str">
        <x:f>IF(AND($B90&lt;&gt;"",$G90&lt;&gt;"Done",$G90&lt;&gt;"Canceled",OR($M90="Yes",$G90="Blocked",$G90="Waiting on Others")),COUNT($S$5:S89)+1,"")</x:f>
      </x:c>
    </x:row>
    <x:row r="91">
      <x:c r="A91" s="27"/>
      <x:c r="B91" s="27"/>
      <x:c r="C91" s="27"/>
      <x:c r="D91" s="27"/>
      <x:c r="E91" s="27"/>
      <x:c r="F91" s="27"/>
      <x:c r="G91" s="27"/>
      <x:c r="H91" s="28"/>
      <x:c r="I91" s="29"/>
      <x:c r="J91" s="30"/>
      <x:c r="K91" s="27"/>
      <x:c r="L91" s="27"/>
      <x:c r="M91" s="27"/>
      <x:c r="N91" s="27"/>
      <x:c r="O91" s="28"/>
      <x:c r="P91" s="27"/>
      <x:c r="Q91" s="27"/>
      <x:c r="R91" s="32" t="str">
        <x:f>IF(AND($B91&lt;&gt;"",$G91&lt;&gt;"Done",$G91&lt;&gt;"Canceled",OR($L91="Yes",$H91&lt;=TODAY()+1,$F91="P0 Critical",$F91="P1 High",$G91="Blocked",$G91="Waiting on Others")),COUNT($R$5:R90)+1,"")</x:f>
      </x:c>
      <x:c r="S91" s="32" t="str">
        <x:f>IF(AND($B91&lt;&gt;"",$G91&lt;&gt;"Done",$G91&lt;&gt;"Canceled",OR($M91="Yes",$G91="Blocked",$G91="Waiting on Others")),COUNT($S$5:S90)+1,"")</x:f>
      </x:c>
    </x:row>
    <x:row r="92">
      <x:c r="A92" s="27"/>
      <x:c r="B92" s="27"/>
      <x:c r="C92" s="27"/>
      <x:c r="D92" s="27"/>
      <x:c r="E92" s="27"/>
      <x:c r="F92" s="27"/>
      <x:c r="G92" s="27"/>
      <x:c r="H92" s="28"/>
      <x:c r="I92" s="29"/>
      <x:c r="J92" s="30"/>
      <x:c r="K92" s="27"/>
      <x:c r="L92" s="27"/>
      <x:c r="M92" s="27"/>
      <x:c r="N92" s="27"/>
      <x:c r="O92" s="28"/>
      <x:c r="P92" s="27"/>
      <x:c r="Q92" s="27"/>
      <x:c r="R92" s="32" t="str">
        <x:f>IF(AND($B92&lt;&gt;"",$G92&lt;&gt;"Done",$G92&lt;&gt;"Canceled",OR($L92="Yes",$H92&lt;=TODAY()+1,$F92="P0 Critical",$F92="P1 High",$G92="Blocked",$G92="Waiting on Others")),COUNT($R$5:R91)+1,"")</x:f>
      </x:c>
      <x:c r="S92" s="32" t="str">
        <x:f>IF(AND($B92&lt;&gt;"",$G92&lt;&gt;"Done",$G92&lt;&gt;"Canceled",OR($M92="Yes",$G92="Blocked",$G92="Waiting on Others")),COUNT($S$5:S91)+1,"")</x:f>
      </x:c>
    </x:row>
    <x:row r="93">
      <x:c r="A93" s="27"/>
      <x:c r="B93" s="27"/>
      <x:c r="C93" s="27"/>
      <x:c r="D93" s="27"/>
      <x:c r="E93" s="27"/>
      <x:c r="F93" s="27"/>
      <x:c r="G93" s="27"/>
      <x:c r="H93" s="28"/>
      <x:c r="I93" s="29"/>
      <x:c r="J93" s="30"/>
      <x:c r="K93" s="27"/>
      <x:c r="L93" s="27"/>
      <x:c r="M93" s="27"/>
      <x:c r="N93" s="27"/>
      <x:c r="O93" s="28"/>
      <x:c r="P93" s="27"/>
      <x:c r="Q93" s="27"/>
      <x:c r="R93" s="32" t="str">
        <x:f>IF(AND($B93&lt;&gt;"",$G93&lt;&gt;"Done",$G93&lt;&gt;"Canceled",OR($L93="Yes",$H93&lt;=TODAY()+1,$F93="P0 Critical",$F93="P1 High",$G93="Blocked",$G93="Waiting on Others")),COUNT($R$5:R92)+1,"")</x:f>
      </x:c>
      <x:c r="S93" s="32" t="str">
        <x:f>IF(AND($B93&lt;&gt;"",$G93&lt;&gt;"Done",$G93&lt;&gt;"Canceled",OR($M93="Yes",$G93="Blocked",$G93="Waiting on Others")),COUNT($S$5:S92)+1,"")</x:f>
      </x:c>
    </x:row>
    <x:row r="94">
      <x:c r="A94" s="27"/>
      <x:c r="B94" s="27"/>
      <x:c r="C94" s="27"/>
      <x:c r="D94" s="27"/>
      <x:c r="E94" s="27"/>
      <x:c r="F94" s="27"/>
      <x:c r="G94" s="27"/>
      <x:c r="H94" s="28"/>
      <x:c r="I94" s="29"/>
      <x:c r="J94" s="30"/>
      <x:c r="K94" s="27"/>
      <x:c r="L94" s="27"/>
      <x:c r="M94" s="27"/>
      <x:c r="N94" s="27"/>
      <x:c r="O94" s="28"/>
      <x:c r="P94" s="27"/>
      <x:c r="Q94" s="27"/>
      <x:c r="R94" s="32" t="str">
        <x:f>IF(AND($B94&lt;&gt;"",$G94&lt;&gt;"Done",$G94&lt;&gt;"Canceled",OR($L94="Yes",$H94&lt;=TODAY()+1,$F94="P0 Critical",$F94="P1 High",$G94="Blocked",$G94="Waiting on Others")),COUNT($R$5:R93)+1,"")</x:f>
      </x:c>
      <x:c r="S94" s="32" t="str">
        <x:f>IF(AND($B94&lt;&gt;"",$G94&lt;&gt;"Done",$G94&lt;&gt;"Canceled",OR($M94="Yes",$G94="Blocked",$G94="Waiting on Others")),COUNT($S$5:S93)+1,"")</x:f>
      </x:c>
    </x:row>
    <x:row r="95">
      <x:c r="A95" s="27"/>
      <x:c r="B95" s="27"/>
      <x:c r="C95" s="27"/>
      <x:c r="D95" s="27"/>
      <x:c r="E95" s="27"/>
      <x:c r="F95" s="27"/>
      <x:c r="G95" s="27"/>
      <x:c r="H95" s="28"/>
      <x:c r="I95" s="29"/>
      <x:c r="J95" s="30"/>
      <x:c r="K95" s="27"/>
      <x:c r="L95" s="27"/>
      <x:c r="M95" s="27"/>
      <x:c r="N95" s="27"/>
      <x:c r="O95" s="28"/>
      <x:c r="P95" s="27"/>
      <x:c r="Q95" s="27"/>
      <x:c r="R95" s="32" t="str">
        <x:f>IF(AND($B95&lt;&gt;"",$G95&lt;&gt;"Done",$G95&lt;&gt;"Canceled",OR($L95="Yes",$H95&lt;=TODAY()+1,$F95="P0 Critical",$F95="P1 High",$G95="Blocked",$G95="Waiting on Others")),COUNT($R$5:R94)+1,"")</x:f>
      </x:c>
      <x:c r="S95" s="32" t="str">
        <x:f>IF(AND($B95&lt;&gt;"",$G95&lt;&gt;"Done",$G95&lt;&gt;"Canceled",OR($M95="Yes",$G95="Blocked",$G95="Waiting on Others")),COUNT($S$5:S94)+1,"")</x:f>
      </x:c>
    </x:row>
    <x:row r="96">
      <x:c r="A96" s="27"/>
      <x:c r="B96" s="27"/>
      <x:c r="C96" s="27"/>
      <x:c r="D96" s="27"/>
      <x:c r="E96" s="27"/>
      <x:c r="F96" s="27"/>
      <x:c r="G96" s="27"/>
      <x:c r="H96" s="28"/>
      <x:c r="I96" s="29"/>
      <x:c r="J96" s="30"/>
      <x:c r="K96" s="27"/>
      <x:c r="L96" s="27"/>
      <x:c r="M96" s="27"/>
      <x:c r="N96" s="27"/>
      <x:c r="O96" s="28"/>
      <x:c r="P96" s="27"/>
      <x:c r="Q96" s="27"/>
      <x:c r="R96" s="32" t="str">
        <x:f>IF(AND($B96&lt;&gt;"",$G96&lt;&gt;"Done",$G96&lt;&gt;"Canceled",OR($L96="Yes",$H96&lt;=TODAY()+1,$F96="P0 Critical",$F96="P1 High",$G96="Blocked",$G96="Waiting on Others")),COUNT($R$5:R95)+1,"")</x:f>
      </x:c>
      <x:c r="S96" s="32" t="str">
        <x:f>IF(AND($B96&lt;&gt;"",$G96&lt;&gt;"Done",$G96&lt;&gt;"Canceled",OR($M96="Yes",$G96="Blocked",$G96="Waiting on Others")),COUNT($S$5:S95)+1,"")</x:f>
      </x:c>
    </x:row>
    <x:row r="97">
      <x:c r="A97" s="27"/>
      <x:c r="B97" s="27"/>
      <x:c r="C97" s="27"/>
      <x:c r="D97" s="27"/>
      <x:c r="E97" s="27"/>
      <x:c r="F97" s="27"/>
      <x:c r="G97" s="27"/>
      <x:c r="H97" s="28"/>
      <x:c r="I97" s="29"/>
      <x:c r="J97" s="30"/>
      <x:c r="K97" s="27"/>
      <x:c r="L97" s="27"/>
      <x:c r="M97" s="27"/>
      <x:c r="N97" s="27"/>
      <x:c r="O97" s="28"/>
      <x:c r="P97" s="27"/>
      <x:c r="Q97" s="27"/>
      <x:c r="R97" s="32" t="str">
        <x:f>IF(AND($B97&lt;&gt;"",$G97&lt;&gt;"Done",$G97&lt;&gt;"Canceled",OR($L97="Yes",$H97&lt;=TODAY()+1,$F97="P0 Critical",$F97="P1 High",$G97="Blocked",$G97="Waiting on Others")),COUNT($R$5:R96)+1,"")</x:f>
      </x:c>
      <x:c r="S97" s="32" t="str">
        <x:f>IF(AND($B97&lt;&gt;"",$G97&lt;&gt;"Done",$G97&lt;&gt;"Canceled",OR($M97="Yes",$G97="Blocked",$G97="Waiting on Others")),COUNT($S$5:S96)+1,"")</x:f>
      </x:c>
    </x:row>
    <x:row r="98">
      <x:c r="A98" s="27"/>
      <x:c r="B98" s="27"/>
      <x:c r="C98" s="27"/>
      <x:c r="D98" s="27"/>
      <x:c r="E98" s="27"/>
      <x:c r="F98" s="27"/>
      <x:c r="G98" s="27"/>
      <x:c r="H98" s="28"/>
      <x:c r="I98" s="29"/>
      <x:c r="J98" s="30"/>
      <x:c r="K98" s="27"/>
      <x:c r="L98" s="27"/>
      <x:c r="M98" s="27"/>
      <x:c r="N98" s="27"/>
      <x:c r="O98" s="28"/>
      <x:c r="P98" s="27"/>
      <x:c r="Q98" s="27"/>
      <x:c r="R98" s="32" t="str">
        <x:f>IF(AND($B98&lt;&gt;"",$G98&lt;&gt;"Done",$G98&lt;&gt;"Canceled",OR($L98="Yes",$H98&lt;=TODAY()+1,$F98="P0 Critical",$F98="P1 High",$G98="Blocked",$G98="Waiting on Others")),COUNT($R$5:R97)+1,"")</x:f>
      </x:c>
      <x:c r="S98" s="32" t="str">
        <x:f>IF(AND($B98&lt;&gt;"",$G98&lt;&gt;"Done",$G98&lt;&gt;"Canceled",OR($M98="Yes",$G98="Blocked",$G98="Waiting on Others")),COUNT($S$5:S97)+1,"")</x:f>
      </x:c>
    </x:row>
    <x:row r="99">
      <x:c r="A99" s="27"/>
      <x:c r="B99" s="27"/>
      <x:c r="C99" s="27"/>
      <x:c r="D99" s="27"/>
      <x:c r="E99" s="27"/>
      <x:c r="F99" s="27"/>
      <x:c r="G99" s="27"/>
      <x:c r="H99" s="28"/>
      <x:c r="I99" s="29"/>
      <x:c r="J99" s="30"/>
      <x:c r="K99" s="27"/>
      <x:c r="L99" s="27"/>
      <x:c r="M99" s="27"/>
      <x:c r="N99" s="27"/>
      <x:c r="O99" s="28"/>
      <x:c r="P99" s="27"/>
      <x:c r="Q99" s="27"/>
      <x:c r="R99" s="32" t="str">
        <x:f>IF(AND($B99&lt;&gt;"",$G99&lt;&gt;"Done",$G99&lt;&gt;"Canceled",OR($L99="Yes",$H99&lt;=TODAY()+1,$F99="P0 Critical",$F99="P1 High",$G99="Blocked",$G99="Waiting on Others")),COUNT($R$5:R98)+1,"")</x:f>
      </x:c>
      <x:c r="S99" s="32" t="str">
        <x:f>IF(AND($B99&lt;&gt;"",$G99&lt;&gt;"Done",$G99&lt;&gt;"Canceled",OR($M99="Yes",$G99="Blocked",$G99="Waiting on Others")),COUNT($S$5:S98)+1,"")</x:f>
      </x:c>
    </x:row>
    <x:row r="100">
      <x:c r="A100" s="27"/>
      <x:c r="B100" s="27"/>
      <x:c r="C100" s="27"/>
      <x:c r="D100" s="27"/>
      <x:c r="E100" s="27"/>
      <x:c r="F100" s="27"/>
      <x:c r="G100" s="27"/>
      <x:c r="H100" s="28"/>
      <x:c r="I100" s="29"/>
      <x:c r="J100" s="30"/>
      <x:c r="K100" s="27"/>
      <x:c r="L100" s="27"/>
      <x:c r="M100" s="27"/>
      <x:c r="N100" s="27"/>
      <x:c r="O100" s="28"/>
      <x:c r="P100" s="27"/>
      <x:c r="Q100" s="27"/>
      <x:c r="R100" s="32" t="str">
        <x:f>IF(AND($B100&lt;&gt;"",$G100&lt;&gt;"Done",$G100&lt;&gt;"Canceled",OR($L100="Yes",$H100&lt;=TODAY()+1,$F100="P0 Critical",$F100="P1 High",$G100="Blocked",$G100="Waiting on Others")),COUNT($R$5:R99)+1,"")</x:f>
      </x:c>
      <x:c r="S100" s="32" t="str">
        <x:f>IF(AND($B100&lt;&gt;"",$G100&lt;&gt;"Done",$G100&lt;&gt;"Canceled",OR($M100="Yes",$G100="Blocked",$G100="Waiting on Others")),COUNT($S$5:S99)+1,"")</x:f>
      </x:c>
    </x:row>
    <x:row r="101">
      <x:c r="A101" s="27"/>
      <x:c r="B101" s="27"/>
      <x:c r="C101" s="27"/>
      <x:c r="D101" s="27"/>
      <x:c r="E101" s="27"/>
      <x:c r="F101" s="27"/>
      <x:c r="G101" s="27"/>
      <x:c r="H101" s="28"/>
      <x:c r="I101" s="29"/>
      <x:c r="J101" s="30"/>
      <x:c r="K101" s="27"/>
      <x:c r="L101" s="27"/>
      <x:c r="M101" s="27"/>
      <x:c r="N101" s="27"/>
      <x:c r="O101" s="28"/>
      <x:c r="P101" s="27"/>
      <x:c r="Q101" s="27"/>
      <x:c r="R101" s="32" t="str">
        <x:f>IF(AND($B101&lt;&gt;"",$G101&lt;&gt;"Done",$G101&lt;&gt;"Canceled",OR($L101="Yes",$H101&lt;=TODAY()+1,$F101="P0 Critical",$F101="P1 High",$G101="Blocked",$G101="Waiting on Others")),COUNT($R$5:R100)+1,"")</x:f>
      </x:c>
      <x:c r="S101" s="32" t="str">
        <x:f>IF(AND($B101&lt;&gt;"",$G101&lt;&gt;"Done",$G101&lt;&gt;"Canceled",OR($M101="Yes",$G101="Blocked",$G101="Waiting on Others")),COUNT($S$5:S100)+1,"")</x:f>
      </x:c>
    </x:row>
    <x:row r="102">
      <x:c r="A102" s="27"/>
      <x:c r="B102" s="27"/>
      <x:c r="C102" s="27"/>
      <x:c r="D102" s="27"/>
      <x:c r="E102" s="27"/>
      <x:c r="F102" s="27"/>
      <x:c r="G102" s="27"/>
      <x:c r="H102" s="28"/>
      <x:c r="I102" s="29"/>
      <x:c r="J102" s="30"/>
      <x:c r="K102" s="27"/>
      <x:c r="L102" s="27"/>
      <x:c r="M102" s="27"/>
      <x:c r="N102" s="27"/>
      <x:c r="O102" s="28"/>
      <x:c r="P102" s="27"/>
      <x:c r="Q102" s="27"/>
      <x:c r="R102" s="32" t="str">
        <x:f>IF(AND($B102&lt;&gt;"",$G102&lt;&gt;"Done",$G102&lt;&gt;"Canceled",OR($L102="Yes",$H102&lt;=TODAY()+1,$F102="P0 Critical",$F102="P1 High",$G102="Blocked",$G102="Waiting on Others")),COUNT($R$5:R101)+1,"")</x:f>
      </x:c>
      <x:c r="S102" s="32" t="str">
        <x:f>IF(AND($B102&lt;&gt;"",$G102&lt;&gt;"Done",$G102&lt;&gt;"Canceled",OR($M102="Yes",$G102="Blocked",$G102="Waiting on Others")),COUNT($S$5:S101)+1,"")</x:f>
      </x:c>
    </x:row>
    <x:row r="103">
      <x:c r="A103" s="27"/>
      <x:c r="B103" s="27"/>
      <x:c r="C103" s="27"/>
      <x:c r="D103" s="27"/>
      <x:c r="E103" s="27"/>
      <x:c r="F103" s="27"/>
      <x:c r="G103" s="27"/>
      <x:c r="H103" s="28"/>
      <x:c r="I103" s="29"/>
      <x:c r="J103" s="30"/>
      <x:c r="K103" s="27"/>
      <x:c r="L103" s="27"/>
      <x:c r="M103" s="27"/>
      <x:c r="N103" s="27"/>
      <x:c r="O103" s="28"/>
      <x:c r="P103" s="27"/>
      <x:c r="Q103" s="27"/>
      <x:c r="R103" s="32" t="str">
        <x:f>IF(AND($B103&lt;&gt;"",$G103&lt;&gt;"Done",$G103&lt;&gt;"Canceled",OR($L103="Yes",$H103&lt;=TODAY()+1,$F103="P0 Critical",$F103="P1 High",$G103="Blocked",$G103="Waiting on Others")),COUNT($R$5:R102)+1,"")</x:f>
      </x:c>
      <x:c r="S103" s="32" t="str">
        <x:f>IF(AND($B103&lt;&gt;"",$G103&lt;&gt;"Done",$G103&lt;&gt;"Canceled",OR($M103="Yes",$G103="Blocked",$G103="Waiting on Others")),COUNT($S$5:S102)+1,"")</x:f>
      </x:c>
    </x:row>
    <x:row r="104">
      <x:c r="A104" s="27"/>
      <x:c r="B104" s="27"/>
      <x:c r="C104" s="27"/>
      <x:c r="D104" s="27"/>
      <x:c r="E104" s="27"/>
      <x:c r="F104" s="27"/>
      <x:c r="G104" s="27"/>
      <x:c r="H104" s="28"/>
      <x:c r="I104" s="29"/>
      <x:c r="J104" s="30"/>
      <x:c r="K104" s="27"/>
      <x:c r="L104" s="27"/>
      <x:c r="M104" s="27"/>
      <x:c r="N104" s="27"/>
      <x:c r="O104" s="28"/>
      <x:c r="P104" s="27"/>
      <x:c r="Q104" s="27"/>
      <x:c r="R104" s="32" t="str">
        <x:f>IF(AND($B104&lt;&gt;"",$G104&lt;&gt;"Done",$G104&lt;&gt;"Canceled",OR($L104="Yes",$H104&lt;=TODAY()+1,$F104="P0 Critical",$F104="P1 High",$G104="Blocked",$G104="Waiting on Others")),COUNT($R$5:R103)+1,"")</x:f>
      </x:c>
      <x:c r="S104" s="32" t="str">
        <x:f>IF(AND($B104&lt;&gt;"",$G104&lt;&gt;"Done",$G104&lt;&gt;"Canceled",OR($M104="Yes",$G104="Blocked",$G104="Waiting on Others")),COUNT($S$5:S103)+1,"")</x:f>
      </x:c>
    </x:row>
    <x:row r="105">
      <x:c r="A105" s="27"/>
      <x:c r="B105" s="27"/>
      <x:c r="C105" s="27"/>
      <x:c r="D105" s="27"/>
      <x:c r="E105" s="27"/>
      <x:c r="F105" s="27"/>
      <x:c r="G105" s="27"/>
      <x:c r="H105" s="28"/>
      <x:c r="I105" s="29"/>
      <x:c r="J105" s="30"/>
      <x:c r="K105" s="27"/>
      <x:c r="L105" s="27"/>
      <x:c r="M105" s="27"/>
      <x:c r="N105" s="27"/>
      <x:c r="O105" s="28"/>
      <x:c r="P105" s="27"/>
      <x:c r="Q105" s="27"/>
      <x:c r="R105" s="32" t="str">
        <x:f>IF(AND($B105&lt;&gt;"",$G105&lt;&gt;"Done",$G105&lt;&gt;"Canceled",OR($L105="Yes",$H105&lt;=TODAY()+1,$F105="P0 Critical",$F105="P1 High",$G105="Blocked",$G105="Waiting on Others")),COUNT($R$5:R104)+1,"")</x:f>
      </x:c>
      <x:c r="S105" s="32" t="str">
        <x:f>IF(AND($B105&lt;&gt;"",$G105&lt;&gt;"Done",$G105&lt;&gt;"Canceled",OR($M105="Yes",$G105="Blocked",$G105="Waiting on Others")),COUNT($S$5:S104)+1,"")</x:f>
      </x:c>
    </x:row>
    <x:row r="106">
      <x:c r="A106" s="27"/>
      <x:c r="B106" s="27"/>
      <x:c r="C106" s="27"/>
      <x:c r="D106" s="27"/>
      <x:c r="E106" s="27"/>
      <x:c r="F106" s="27"/>
      <x:c r="G106" s="27"/>
      <x:c r="H106" s="28"/>
      <x:c r="I106" s="29"/>
      <x:c r="J106" s="30"/>
      <x:c r="K106" s="27"/>
      <x:c r="L106" s="27"/>
      <x:c r="M106" s="27"/>
      <x:c r="N106" s="27"/>
      <x:c r="O106" s="28"/>
      <x:c r="P106" s="27"/>
      <x:c r="Q106" s="27"/>
      <x:c r="R106" s="32" t="str">
        <x:f>IF(AND($B106&lt;&gt;"",$G106&lt;&gt;"Done",$G106&lt;&gt;"Canceled",OR($L106="Yes",$H106&lt;=TODAY()+1,$F106="P0 Critical",$F106="P1 High",$G106="Blocked",$G106="Waiting on Others")),COUNT($R$5:R105)+1,"")</x:f>
      </x:c>
      <x:c r="S106" s="32" t="str">
        <x:f>IF(AND($B106&lt;&gt;"",$G106&lt;&gt;"Done",$G106&lt;&gt;"Canceled",OR($M106="Yes",$G106="Blocked",$G106="Waiting on Others")),COUNT($S$5:S105)+1,"")</x:f>
      </x:c>
    </x:row>
    <x:row r="107">
      <x:c r="A107" s="27"/>
      <x:c r="B107" s="27"/>
      <x:c r="C107" s="27"/>
      <x:c r="D107" s="27"/>
      <x:c r="E107" s="27"/>
      <x:c r="F107" s="27"/>
      <x:c r="G107" s="27"/>
      <x:c r="H107" s="28"/>
      <x:c r="I107" s="29"/>
      <x:c r="J107" s="30"/>
      <x:c r="K107" s="27"/>
      <x:c r="L107" s="27"/>
      <x:c r="M107" s="27"/>
      <x:c r="N107" s="27"/>
      <x:c r="O107" s="28"/>
      <x:c r="P107" s="27"/>
      <x:c r="Q107" s="27"/>
      <x:c r="R107" s="32" t="str">
        <x:f>IF(AND($B107&lt;&gt;"",$G107&lt;&gt;"Done",$G107&lt;&gt;"Canceled",OR($L107="Yes",$H107&lt;=TODAY()+1,$F107="P0 Critical",$F107="P1 High",$G107="Blocked",$G107="Waiting on Others")),COUNT($R$5:R106)+1,"")</x:f>
      </x:c>
      <x:c r="S107" s="32" t="str">
        <x:f>IF(AND($B107&lt;&gt;"",$G107&lt;&gt;"Done",$G107&lt;&gt;"Canceled",OR($M107="Yes",$G107="Blocked",$G107="Waiting on Others")),COUNT($S$5:S106)+1,"")</x:f>
      </x:c>
    </x:row>
    <x:row r="108">
      <x:c r="A108" s="27"/>
      <x:c r="B108" s="27"/>
      <x:c r="C108" s="27"/>
      <x:c r="D108" s="27"/>
      <x:c r="E108" s="27"/>
      <x:c r="F108" s="27"/>
      <x:c r="G108" s="27"/>
      <x:c r="H108" s="28"/>
      <x:c r="I108" s="29"/>
      <x:c r="J108" s="30"/>
      <x:c r="K108" s="27"/>
      <x:c r="L108" s="27"/>
      <x:c r="M108" s="27"/>
      <x:c r="N108" s="27"/>
      <x:c r="O108" s="28"/>
      <x:c r="P108" s="27"/>
      <x:c r="Q108" s="27"/>
      <x:c r="R108" s="32" t="str">
        <x:f>IF(AND($B108&lt;&gt;"",$G108&lt;&gt;"Done",$G108&lt;&gt;"Canceled",OR($L108="Yes",$H108&lt;=TODAY()+1,$F108="P0 Critical",$F108="P1 High",$G108="Blocked",$G108="Waiting on Others")),COUNT($R$5:R107)+1,"")</x:f>
      </x:c>
      <x:c r="S108" s="32" t="str">
        <x:f>IF(AND($B108&lt;&gt;"",$G108&lt;&gt;"Done",$G108&lt;&gt;"Canceled",OR($M108="Yes",$G108="Blocked",$G108="Waiting on Others")),COUNT($S$5:S107)+1,"")</x:f>
      </x:c>
    </x:row>
    <x:row r="109">
      <x:c r="A109" s="27"/>
      <x:c r="B109" s="27"/>
      <x:c r="C109" s="27"/>
      <x:c r="D109" s="27"/>
      <x:c r="E109" s="27"/>
      <x:c r="F109" s="27"/>
      <x:c r="G109" s="27"/>
      <x:c r="H109" s="28"/>
      <x:c r="I109" s="29"/>
      <x:c r="J109" s="30"/>
      <x:c r="K109" s="27"/>
      <x:c r="L109" s="27"/>
      <x:c r="M109" s="27"/>
      <x:c r="N109" s="27"/>
      <x:c r="O109" s="28"/>
      <x:c r="P109" s="27"/>
      <x:c r="Q109" s="27"/>
      <x:c r="R109" s="32" t="str">
        <x:f>IF(AND($B109&lt;&gt;"",$G109&lt;&gt;"Done",$G109&lt;&gt;"Canceled",OR($L109="Yes",$H109&lt;=TODAY()+1,$F109="P0 Critical",$F109="P1 High",$G109="Blocked",$G109="Waiting on Others")),COUNT($R$5:R108)+1,"")</x:f>
      </x:c>
      <x:c r="S109" s="32" t="str">
        <x:f>IF(AND($B109&lt;&gt;"",$G109&lt;&gt;"Done",$G109&lt;&gt;"Canceled",OR($M109="Yes",$G109="Blocked",$G109="Waiting on Others")),COUNT($S$5:S108)+1,"")</x:f>
      </x:c>
    </x:row>
    <x:row r="110">
      <x:c r="A110" s="27"/>
      <x:c r="B110" s="27"/>
      <x:c r="C110" s="27"/>
      <x:c r="D110" s="27"/>
      <x:c r="E110" s="27"/>
      <x:c r="F110" s="27"/>
      <x:c r="G110" s="27"/>
      <x:c r="H110" s="28"/>
      <x:c r="I110" s="29"/>
      <x:c r="J110" s="30"/>
      <x:c r="K110" s="27"/>
      <x:c r="L110" s="27"/>
      <x:c r="M110" s="27"/>
      <x:c r="N110" s="27"/>
      <x:c r="O110" s="28"/>
      <x:c r="P110" s="27"/>
      <x:c r="Q110" s="27"/>
      <x:c r="R110" s="32" t="str">
        <x:f>IF(AND($B110&lt;&gt;"",$G110&lt;&gt;"Done",$G110&lt;&gt;"Canceled",OR($L110="Yes",$H110&lt;=TODAY()+1,$F110="P0 Critical",$F110="P1 High",$G110="Blocked",$G110="Waiting on Others")),COUNT($R$5:R109)+1,"")</x:f>
      </x:c>
      <x:c r="S110" s="32" t="str">
        <x:f>IF(AND($B110&lt;&gt;"",$G110&lt;&gt;"Done",$G110&lt;&gt;"Canceled",OR($M110="Yes",$G110="Blocked",$G110="Waiting on Others")),COUNT($S$5:S109)+1,"")</x:f>
      </x:c>
    </x:row>
    <x:row r="111">
      <x:c r="A111" s="27"/>
      <x:c r="B111" s="27"/>
      <x:c r="C111" s="27"/>
      <x:c r="D111" s="27"/>
      <x:c r="E111" s="27"/>
      <x:c r="F111" s="27"/>
      <x:c r="G111" s="27"/>
      <x:c r="H111" s="28"/>
      <x:c r="I111" s="29"/>
      <x:c r="J111" s="30"/>
      <x:c r="K111" s="27"/>
      <x:c r="L111" s="27"/>
      <x:c r="M111" s="27"/>
      <x:c r="N111" s="27"/>
      <x:c r="O111" s="28"/>
      <x:c r="P111" s="27"/>
      <x:c r="Q111" s="27"/>
      <x:c r="R111" s="32" t="str">
        <x:f>IF(AND($B111&lt;&gt;"",$G111&lt;&gt;"Done",$G111&lt;&gt;"Canceled",OR($L111="Yes",$H111&lt;=TODAY()+1,$F111="P0 Critical",$F111="P1 High",$G111="Blocked",$G111="Waiting on Others")),COUNT($R$5:R110)+1,"")</x:f>
      </x:c>
      <x:c r="S111" s="32" t="str">
        <x:f>IF(AND($B111&lt;&gt;"",$G111&lt;&gt;"Done",$G111&lt;&gt;"Canceled",OR($M111="Yes",$G111="Blocked",$G111="Waiting on Others")),COUNT($S$5:S110)+1,"")</x:f>
      </x:c>
    </x:row>
    <x:row r="112">
      <x:c r="A112" s="27"/>
      <x:c r="B112" s="27"/>
      <x:c r="C112" s="27"/>
      <x:c r="D112" s="27"/>
      <x:c r="E112" s="27"/>
      <x:c r="F112" s="27"/>
      <x:c r="G112" s="27"/>
      <x:c r="H112" s="28"/>
      <x:c r="I112" s="29"/>
      <x:c r="J112" s="30"/>
      <x:c r="K112" s="27"/>
      <x:c r="L112" s="27"/>
      <x:c r="M112" s="27"/>
      <x:c r="N112" s="27"/>
      <x:c r="O112" s="28"/>
      <x:c r="P112" s="27"/>
      <x:c r="Q112" s="27"/>
      <x:c r="R112" s="32" t="str">
        <x:f>IF(AND($B112&lt;&gt;"",$G112&lt;&gt;"Done",$G112&lt;&gt;"Canceled",OR($L112="Yes",$H112&lt;=TODAY()+1,$F112="P0 Critical",$F112="P1 High",$G112="Blocked",$G112="Waiting on Others")),COUNT($R$5:R111)+1,"")</x:f>
      </x:c>
      <x:c r="S112" s="32" t="str">
        <x:f>IF(AND($B112&lt;&gt;"",$G112&lt;&gt;"Done",$G112&lt;&gt;"Canceled",OR($M112="Yes",$G112="Blocked",$G112="Waiting on Others")),COUNT($S$5:S111)+1,"")</x:f>
      </x:c>
    </x:row>
    <x:row r="113">
      <x:c r="A113" s="27"/>
      <x:c r="B113" s="27"/>
      <x:c r="C113" s="27"/>
      <x:c r="D113" s="27"/>
      <x:c r="E113" s="27"/>
      <x:c r="F113" s="27"/>
      <x:c r="G113" s="27"/>
      <x:c r="H113" s="28"/>
      <x:c r="I113" s="29"/>
      <x:c r="J113" s="30"/>
      <x:c r="K113" s="27"/>
      <x:c r="L113" s="27"/>
      <x:c r="M113" s="27"/>
      <x:c r="N113" s="27"/>
      <x:c r="O113" s="28"/>
      <x:c r="P113" s="27"/>
      <x:c r="Q113" s="27"/>
      <x:c r="R113" s="32" t="str">
        <x:f>IF(AND($B113&lt;&gt;"",$G113&lt;&gt;"Done",$G113&lt;&gt;"Canceled",OR($L113="Yes",$H113&lt;=TODAY()+1,$F113="P0 Critical",$F113="P1 High",$G113="Blocked",$G113="Waiting on Others")),COUNT($R$5:R112)+1,"")</x:f>
      </x:c>
      <x:c r="S113" s="32" t="str">
        <x:f>IF(AND($B113&lt;&gt;"",$G113&lt;&gt;"Done",$G113&lt;&gt;"Canceled",OR($M113="Yes",$G113="Blocked",$G113="Waiting on Others")),COUNT($S$5:S112)+1,"")</x:f>
      </x:c>
    </x:row>
    <x:row r="114">
      <x:c r="A114" s="27"/>
      <x:c r="B114" s="27"/>
      <x:c r="C114" s="27"/>
      <x:c r="D114" s="27"/>
      <x:c r="E114" s="27"/>
      <x:c r="F114" s="27"/>
      <x:c r="G114" s="27"/>
      <x:c r="H114" s="28"/>
      <x:c r="I114" s="29"/>
      <x:c r="J114" s="30"/>
      <x:c r="K114" s="27"/>
      <x:c r="L114" s="27"/>
      <x:c r="M114" s="27"/>
      <x:c r="N114" s="27"/>
      <x:c r="O114" s="28"/>
      <x:c r="P114" s="27"/>
      <x:c r="Q114" s="27"/>
      <x:c r="R114" s="32" t="str">
        <x:f>IF(AND($B114&lt;&gt;"",$G114&lt;&gt;"Done",$G114&lt;&gt;"Canceled",OR($L114="Yes",$H114&lt;=TODAY()+1,$F114="P0 Critical",$F114="P1 High",$G114="Blocked",$G114="Waiting on Others")),COUNT($R$5:R113)+1,"")</x:f>
      </x:c>
      <x:c r="S114" s="32" t="str">
        <x:f>IF(AND($B114&lt;&gt;"",$G114&lt;&gt;"Done",$G114&lt;&gt;"Canceled",OR($M114="Yes",$G114="Blocked",$G114="Waiting on Others")),COUNT($S$5:S113)+1,"")</x:f>
      </x:c>
    </x:row>
    <x:row r="115">
      <x:c r="A115" s="27"/>
      <x:c r="B115" s="27"/>
      <x:c r="C115" s="27"/>
      <x:c r="D115" s="27"/>
      <x:c r="E115" s="27"/>
      <x:c r="F115" s="27"/>
      <x:c r="G115" s="27"/>
      <x:c r="H115" s="28"/>
      <x:c r="I115" s="29"/>
      <x:c r="J115" s="30"/>
      <x:c r="K115" s="27"/>
      <x:c r="L115" s="27"/>
      <x:c r="M115" s="27"/>
      <x:c r="N115" s="27"/>
      <x:c r="O115" s="28"/>
      <x:c r="P115" s="27"/>
      <x:c r="Q115" s="27"/>
      <x:c r="R115" s="32" t="str">
        <x:f>IF(AND($B115&lt;&gt;"",$G115&lt;&gt;"Done",$G115&lt;&gt;"Canceled",OR($L115="Yes",$H115&lt;=TODAY()+1,$F115="P0 Critical",$F115="P1 High",$G115="Blocked",$G115="Waiting on Others")),COUNT($R$5:R114)+1,"")</x:f>
      </x:c>
      <x:c r="S115" s="32" t="str">
        <x:f>IF(AND($B115&lt;&gt;"",$G115&lt;&gt;"Done",$G115&lt;&gt;"Canceled",OR($M115="Yes",$G115="Blocked",$G115="Waiting on Others")),COUNT($S$5:S114)+1,"")</x:f>
      </x:c>
    </x:row>
    <x:row r="116">
      <x:c r="A116" s="27"/>
      <x:c r="B116" s="27"/>
      <x:c r="C116" s="27"/>
      <x:c r="D116" s="27"/>
      <x:c r="E116" s="27"/>
      <x:c r="F116" s="27"/>
      <x:c r="G116" s="27"/>
      <x:c r="H116" s="28"/>
      <x:c r="I116" s="29"/>
      <x:c r="J116" s="30"/>
      <x:c r="K116" s="27"/>
      <x:c r="L116" s="27"/>
      <x:c r="M116" s="27"/>
      <x:c r="N116" s="27"/>
      <x:c r="O116" s="28"/>
      <x:c r="P116" s="27"/>
      <x:c r="Q116" s="27"/>
      <x:c r="R116" s="32" t="str">
        <x:f>IF(AND($B116&lt;&gt;"",$G116&lt;&gt;"Done",$G116&lt;&gt;"Canceled",OR($L116="Yes",$H116&lt;=TODAY()+1,$F116="P0 Critical",$F116="P1 High",$G116="Blocked",$G116="Waiting on Others")),COUNT($R$5:R115)+1,"")</x:f>
      </x:c>
      <x:c r="S116" s="32" t="str">
        <x:f>IF(AND($B116&lt;&gt;"",$G116&lt;&gt;"Done",$G116&lt;&gt;"Canceled",OR($M116="Yes",$G116="Blocked",$G116="Waiting on Others")),COUNT($S$5:S115)+1,"")</x:f>
      </x:c>
    </x:row>
    <x:row r="117">
      <x:c r="A117" s="27"/>
      <x:c r="B117" s="27"/>
      <x:c r="C117" s="27"/>
      <x:c r="D117" s="27"/>
      <x:c r="E117" s="27"/>
      <x:c r="F117" s="27"/>
      <x:c r="G117" s="27"/>
      <x:c r="H117" s="28"/>
      <x:c r="I117" s="29"/>
      <x:c r="J117" s="30"/>
      <x:c r="K117" s="27"/>
      <x:c r="L117" s="27"/>
      <x:c r="M117" s="27"/>
      <x:c r="N117" s="27"/>
      <x:c r="O117" s="28"/>
      <x:c r="P117" s="27"/>
      <x:c r="Q117" s="27"/>
      <x:c r="R117" s="32" t="str">
        <x:f>IF(AND($B117&lt;&gt;"",$G117&lt;&gt;"Done",$G117&lt;&gt;"Canceled",OR($L117="Yes",$H117&lt;=TODAY()+1,$F117="P0 Critical",$F117="P1 High",$G117="Blocked",$G117="Waiting on Others")),COUNT($R$5:R116)+1,"")</x:f>
      </x:c>
      <x:c r="S117" s="32" t="str">
        <x:f>IF(AND($B117&lt;&gt;"",$G117&lt;&gt;"Done",$G117&lt;&gt;"Canceled",OR($M117="Yes",$G117="Blocked",$G117="Waiting on Others")),COUNT($S$5:S116)+1,"")</x:f>
      </x:c>
    </x:row>
    <x:row r="118">
      <x:c r="A118" s="27"/>
      <x:c r="B118" s="27"/>
      <x:c r="C118" s="27"/>
      <x:c r="D118" s="27"/>
      <x:c r="E118" s="27"/>
      <x:c r="F118" s="27"/>
      <x:c r="G118" s="27"/>
      <x:c r="H118" s="28"/>
      <x:c r="I118" s="29"/>
      <x:c r="J118" s="30"/>
      <x:c r="K118" s="27"/>
      <x:c r="L118" s="27"/>
      <x:c r="M118" s="27"/>
      <x:c r="N118" s="27"/>
      <x:c r="O118" s="28"/>
      <x:c r="P118" s="27"/>
      <x:c r="Q118" s="27"/>
      <x:c r="R118" s="32" t="str">
        <x:f>IF(AND($B118&lt;&gt;"",$G118&lt;&gt;"Done",$G118&lt;&gt;"Canceled",OR($L118="Yes",$H118&lt;=TODAY()+1,$F118="P0 Critical",$F118="P1 High",$G118="Blocked",$G118="Waiting on Others")),COUNT($R$5:R117)+1,"")</x:f>
      </x:c>
      <x:c r="S118" s="32" t="str">
        <x:f>IF(AND($B118&lt;&gt;"",$G118&lt;&gt;"Done",$G118&lt;&gt;"Canceled",OR($M118="Yes",$G118="Blocked",$G118="Waiting on Others")),COUNT($S$5:S117)+1,"")</x:f>
      </x:c>
    </x:row>
    <x:row r="119">
      <x:c r="A119" s="27"/>
      <x:c r="B119" s="27"/>
      <x:c r="C119" s="27"/>
      <x:c r="D119" s="27"/>
      <x:c r="E119" s="27"/>
      <x:c r="F119" s="27"/>
      <x:c r="G119" s="27"/>
      <x:c r="H119" s="28"/>
      <x:c r="I119" s="29"/>
      <x:c r="J119" s="30"/>
      <x:c r="K119" s="27"/>
      <x:c r="L119" s="27"/>
      <x:c r="M119" s="27"/>
      <x:c r="N119" s="27"/>
      <x:c r="O119" s="28"/>
      <x:c r="P119" s="27"/>
      <x:c r="Q119" s="27"/>
      <x:c r="R119" s="32" t="str">
        <x:f>IF(AND($B119&lt;&gt;"",$G119&lt;&gt;"Done",$G119&lt;&gt;"Canceled",OR($L119="Yes",$H119&lt;=TODAY()+1,$F119="P0 Critical",$F119="P1 High",$G119="Blocked",$G119="Waiting on Others")),COUNT($R$5:R118)+1,"")</x:f>
      </x:c>
      <x:c r="S119" s="32" t="str">
        <x:f>IF(AND($B119&lt;&gt;"",$G119&lt;&gt;"Done",$G119&lt;&gt;"Canceled",OR($M119="Yes",$G119="Blocked",$G119="Waiting on Others")),COUNT($S$5:S118)+1,"")</x:f>
      </x:c>
    </x:row>
    <x:row r="120">
      <x:c r="A120" s="27"/>
      <x:c r="B120" s="27"/>
      <x:c r="C120" s="27"/>
      <x:c r="D120" s="27"/>
      <x:c r="E120" s="27"/>
      <x:c r="F120" s="27"/>
      <x:c r="G120" s="27"/>
      <x:c r="H120" s="28"/>
      <x:c r="I120" s="29"/>
      <x:c r="J120" s="30"/>
      <x:c r="K120" s="27"/>
      <x:c r="L120" s="27"/>
      <x:c r="M120" s="27"/>
      <x:c r="N120" s="27"/>
      <x:c r="O120" s="28"/>
      <x:c r="P120" s="27"/>
      <x:c r="Q120" s="27"/>
      <x:c r="R120" s="32" t="str">
        <x:f>IF(AND($B120&lt;&gt;"",$G120&lt;&gt;"Done",$G120&lt;&gt;"Canceled",OR($L120="Yes",$H120&lt;=TODAY()+1,$F120="P0 Critical",$F120="P1 High",$G120="Blocked",$G120="Waiting on Others")),COUNT($R$5:R119)+1,"")</x:f>
      </x:c>
      <x:c r="S120" s="32" t="str">
        <x:f>IF(AND($B120&lt;&gt;"",$G120&lt;&gt;"Done",$G120&lt;&gt;"Canceled",OR($M120="Yes",$G120="Blocked",$G120="Waiting on Others")),COUNT($S$5:S119)+1,"")</x:f>
      </x:c>
    </x:row>
    <x:row r="121">
      <x:c r="A121" s="27"/>
      <x:c r="B121" s="27"/>
      <x:c r="C121" s="27"/>
      <x:c r="D121" s="27"/>
      <x:c r="E121" s="27"/>
      <x:c r="F121" s="27"/>
      <x:c r="G121" s="27"/>
      <x:c r="H121" s="28"/>
      <x:c r="I121" s="29"/>
      <x:c r="J121" s="30"/>
      <x:c r="K121" s="27"/>
      <x:c r="L121" s="27"/>
      <x:c r="M121" s="27"/>
      <x:c r="N121" s="27"/>
      <x:c r="O121" s="28"/>
      <x:c r="P121" s="27"/>
      <x:c r="Q121" s="27"/>
      <x:c r="R121" s="32" t="str">
        <x:f>IF(AND($B121&lt;&gt;"",$G121&lt;&gt;"Done",$G121&lt;&gt;"Canceled",OR($L121="Yes",$H121&lt;=TODAY()+1,$F121="P0 Critical",$F121="P1 High",$G121="Blocked",$G121="Waiting on Others")),COUNT($R$5:R120)+1,"")</x:f>
      </x:c>
      <x:c r="S121" s="32" t="str">
        <x:f>IF(AND($B121&lt;&gt;"",$G121&lt;&gt;"Done",$G121&lt;&gt;"Canceled",OR($M121="Yes",$G121="Blocked",$G121="Waiting on Others")),COUNT($S$5:S120)+1,"")</x:f>
      </x:c>
    </x:row>
    <x:row r="122">
      <x:c r="A122" s="27"/>
      <x:c r="B122" s="27"/>
      <x:c r="C122" s="27"/>
      <x:c r="D122" s="27"/>
      <x:c r="E122" s="27"/>
      <x:c r="F122" s="27"/>
      <x:c r="G122" s="27"/>
      <x:c r="H122" s="28"/>
      <x:c r="I122" s="29"/>
      <x:c r="J122" s="30"/>
      <x:c r="K122" s="27"/>
      <x:c r="L122" s="27"/>
      <x:c r="M122" s="27"/>
      <x:c r="N122" s="27"/>
      <x:c r="O122" s="28"/>
      <x:c r="P122" s="27"/>
      <x:c r="Q122" s="27"/>
      <x:c r="R122" s="32" t="str">
        <x:f>IF(AND($B122&lt;&gt;"",$G122&lt;&gt;"Done",$G122&lt;&gt;"Canceled",OR($L122="Yes",$H122&lt;=TODAY()+1,$F122="P0 Critical",$F122="P1 High",$G122="Blocked",$G122="Waiting on Others")),COUNT($R$5:R121)+1,"")</x:f>
      </x:c>
      <x:c r="S122" s="32" t="str">
        <x:f>IF(AND($B122&lt;&gt;"",$G122&lt;&gt;"Done",$G122&lt;&gt;"Canceled",OR($M122="Yes",$G122="Blocked",$G122="Waiting on Others")),COUNT($S$5:S121)+1,"")</x:f>
      </x:c>
    </x:row>
    <x:row r="123">
      <x:c r="A123" s="27"/>
      <x:c r="B123" s="27"/>
      <x:c r="C123" s="27"/>
      <x:c r="D123" s="27"/>
      <x:c r="E123" s="27"/>
      <x:c r="F123" s="27"/>
      <x:c r="G123" s="27"/>
      <x:c r="H123" s="28"/>
      <x:c r="I123" s="29"/>
      <x:c r="J123" s="30"/>
      <x:c r="K123" s="27"/>
      <x:c r="L123" s="27"/>
      <x:c r="M123" s="27"/>
      <x:c r="N123" s="27"/>
      <x:c r="O123" s="28"/>
      <x:c r="P123" s="27"/>
      <x:c r="Q123" s="27"/>
      <x:c r="R123" s="32" t="str">
        <x:f>IF(AND($B123&lt;&gt;"",$G123&lt;&gt;"Done",$G123&lt;&gt;"Canceled",OR($L123="Yes",$H123&lt;=TODAY()+1,$F123="P0 Critical",$F123="P1 High",$G123="Blocked",$G123="Waiting on Others")),COUNT($R$5:R122)+1,"")</x:f>
      </x:c>
      <x:c r="S123" s="32" t="str">
        <x:f>IF(AND($B123&lt;&gt;"",$G123&lt;&gt;"Done",$G123&lt;&gt;"Canceled",OR($M123="Yes",$G123="Blocked",$G123="Waiting on Others")),COUNT($S$5:S122)+1,"")</x:f>
      </x:c>
    </x:row>
    <x:row r="124">
      <x:c r="A124" s="27"/>
      <x:c r="B124" s="27"/>
      <x:c r="C124" s="27"/>
      <x:c r="D124" s="27"/>
      <x:c r="E124" s="27"/>
      <x:c r="F124" s="27"/>
      <x:c r="G124" s="27"/>
      <x:c r="H124" s="28"/>
      <x:c r="I124" s="29"/>
      <x:c r="J124" s="30"/>
      <x:c r="K124" s="27"/>
      <x:c r="L124" s="27"/>
      <x:c r="M124" s="27"/>
      <x:c r="N124" s="27"/>
      <x:c r="O124" s="28"/>
      <x:c r="P124" s="27"/>
      <x:c r="Q124" s="27"/>
      <x:c r="R124" s="32" t="str">
        <x:f>IF(AND($B124&lt;&gt;"",$G124&lt;&gt;"Done",$G124&lt;&gt;"Canceled",OR($L124="Yes",$H124&lt;=TODAY()+1,$F124="P0 Critical",$F124="P1 High",$G124="Blocked",$G124="Waiting on Others")),COUNT($R$5:R123)+1,"")</x:f>
      </x:c>
      <x:c r="S124" s="32" t="str">
        <x:f>IF(AND($B124&lt;&gt;"",$G124&lt;&gt;"Done",$G124&lt;&gt;"Canceled",OR($M124="Yes",$G124="Blocked",$G124="Waiting on Others")),COUNT($S$5:S123)+1,"")</x:f>
      </x:c>
    </x:row>
    <x:row r="125">
      <x:c r="A125" s="27"/>
      <x:c r="B125" s="27"/>
      <x:c r="C125" s="27"/>
      <x:c r="D125" s="27"/>
      <x:c r="E125" s="27"/>
      <x:c r="F125" s="27"/>
      <x:c r="G125" s="27"/>
      <x:c r="H125" s="28"/>
      <x:c r="I125" s="29"/>
      <x:c r="J125" s="30"/>
      <x:c r="K125" s="27"/>
      <x:c r="L125" s="27"/>
      <x:c r="M125" s="27"/>
      <x:c r="N125" s="27"/>
      <x:c r="O125" s="28"/>
      <x:c r="P125" s="27"/>
      <x:c r="Q125" s="27"/>
      <x:c r="R125" s="32" t="str">
        <x:f>IF(AND($B125&lt;&gt;"",$G125&lt;&gt;"Done",$G125&lt;&gt;"Canceled",OR($L125="Yes",$H125&lt;=TODAY()+1,$F125="P0 Critical",$F125="P1 High",$G125="Blocked",$G125="Waiting on Others")),COUNT($R$5:R124)+1,"")</x:f>
      </x:c>
      <x:c r="S125" s="32" t="str">
        <x:f>IF(AND($B125&lt;&gt;"",$G125&lt;&gt;"Done",$G125&lt;&gt;"Canceled",OR($M125="Yes",$G125="Blocked",$G125="Waiting on Others")),COUNT($S$5:S124)+1,"")</x:f>
      </x:c>
    </x:row>
    <x:row r="126">
      <x:c r="A126" s="27"/>
      <x:c r="B126" s="27"/>
      <x:c r="C126" s="27"/>
      <x:c r="D126" s="27"/>
      <x:c r="E126" s="27"/>
      <x:c r="F126" s="27"/>
      <x:c r="G126" s="27"/>
      <x:c r="H126" s="28"/>
      <x:c r="I126" s="29"/>
      <x:c r="J126" s="30"/>
      <x:c r="K126" s="27"/>
      <x:c r="L126" s="27"/>
      <x:c r="M126" s="27"/>
      <x:c r="N126" s="27"/>
      <x:c r="O126" s="28"/>
      <x:c r="P126" s="27"/>
      <x:c r="Q126" s="27"/>
      <x:c r="R126" s="32" t="str">
        <x:f>IF(AND($B126&lt;&gt;"",$G126&lt;&gt;"Done",$G126&lt;&gt;"Canceled",OR($L126="Yes",$H126&lt;=TODAY()+1,$F126="P0 Critical",$F126="P1 High",$G126="Blocked",$G126="Waiting on Others")),COUNT($R$5:R125)+1,"")</x:f>
      </x:c>
      <x:c r="S126" s="32" t="str">
        <x:f>IF(AND($B126&lt;&gt;"",$G126&lt;&gt;"Done",$G126&lt;&gt;"Canceled",OR($M126="Yes",$G126="Blocked",$G126="Waiting on Others")),COUNT($S$5:S125)+1,"")</x:f>
      </x:c>
    </x:row>
    <x:row r="127">
      <x:c r="A127" s="27"/>
      <x:c r="B127" s="27"/>
      <x:c r="C127" s="27"/>
      <x:c r="D127" s="27"/>
      <x:c r="E127" s="27"/>
      <x:c r="F127" s="27"/>
      <x:c r="G127" s="27"/>
      <x:c r="H127" s="28"/>
      <x:c r="I127" s="29"/>
      <x:c r="J127" s="30"/>
      <x:c r="K127" s="27"/>
      <x:c r="L127" s="27"/>
      <x:c r="M127" s="27"/>
      <x:c r="N127" s="27"/>
      <x:c r="O127" s="28"/>
      <x:c r="P127" s="27"/>
      <x:c r="Q127" s="27"/>
      <x:c r="R127" s="32" t="str">
        <x:f>IF(AND($B127&lt;&gt;"",$G127&lt;&gt;"Done",$G127&lt;&gt;"Canceled",OR($L127="Yes",$H127&lt;=TODAY()+1,$F127="P0 Critical",$F127="P1 High",$G127="Blocked",$G127="Waiting on Others")),COUNT($R$5:R126)+1,"")</x:f>
      </x:c>
      <x:c r="S127" s="32" t="str">
        <x:f>IF(AND($B127&lt;&gt;"",$G127&lt;&gt;"Done",$G127&lt;&gt;"Canceled",OR($M127="Yes",$G127="Blocked",$G127="Waiting on Others")),COUNT($S$5:S126)+1,"")</x:f>
      </x:c>
    </x:row>
    <x:row r="128">
      <x:c r="A128" s="27"/>
      <x:c r="B128" s="27"/>
      <x:c r="C128" s="27"/>
      <x:c r="D128" s="27"/>
      <x:c r="E128" s="27"/>
      <x:c r="F128" s="27"/>
      <x:c r="G128" s="27"/>
      <x:c r="H128" s="28"/>
      <x:c r="I128" s="29"/>
      <x:c r="J128" s="30"/>
      <x:c r="K128" s="27"/>
      <x:c r="L128" s="27"/>
      <x:c r="M128" s="27"/>
      <x:c r="N128" s="27"/>
      <x:c r="O128" s="28"/>
      <x:c r="P128" s="27"/>
      <x:c r="Q128" s="27"/>
      <x:c r="R128" s="32" t="str">
        <x:f>IF(AND($B128&lt;&gt;"",$G128&lt;&gt;"Done",$G128&lt;&gt;"Canceled",OR($L128="Yes",$H128&lt;=TODAY()+1,$F128="P0 Critical",$F128="P1 High",$G128="Blocked",$G128="Waiting on Others")),COUNT($R$5:R127)+1,"")</x:f>
      </x:c>
      <x:c r="S128" s="32" t="str">
        <x:f>IF(AND($B128&lt;&gt;"",$G128&lt;&gt;"Done",$G128&lt;&gt;"Canceled",OR($M128="Yes",$G128="Blocked",$G128="Waiting on Others")),COUNT($S$5:S127)+1,"")</x:f>
      </x:c>
    </x:row>
    <x:row r="129">
      <x:c r="A129" s="27"/>
      <x:c r="B129" s="27"/>
      <x:c r="C129" s="27"/>
      <x:c r="D129" s="27"/>
      <x:c r="E129" s="27"/>
      <x:c r="F129" s="27"/>
      <x:c r="G129" s="27"/>
      <x:c r="H129" s="28"/>
      <x:c r="I129" s="29"/>
      <x:c r="J129" s="30"/>
      <x:c r="K129" s="27"/>
      <x:c r="L129" s="27"/>
      <x:c r="M129" s="27"/>
      <x:c r="N129" s="27"/>
      <x:c r="O129" s="28"/>
      <x:c r="P129" s="27"/>
      <x:c r="Q129" s="27"/>
      <x:c r="R129" s="32" t="str">
        <x:f>IF(AND($B129&lt;&gt;"",$G129&lt;&gt;"Done",$G129&lt;&gt;"Canceled",OR($L129="Yes",$H129&lt;=TODAY()+1,$F129="P0 Critical",$F129="P1 High",$G129="Blocked",$G129="Waiting on Others")),COUNT($R$5:R128)+1,"")</x:f>
      </x:c>
      <x:c r="S129" s="32" t="str">
        <x:f>IF(AND($B129&lt;&gt;"",$G129&lt;&gt;"Done",$G129&lt;&gt;"Canceled",OR($M129="Yes",$G129="Blocked",$G129="Waiting on Others")),COUNT($S$5:S128)+1,"")</x:f>
      </x:c>
    </x:row>
    <x:row r="130">
      <x:c r="A130" s="27"/>
      <x:c r="B130" s="27"/>
      <x:c r="C130" s="27"/>
      <x:c r="D130" s="27"/>
      <x:c r="E130" s="27"/>
      <x:c r="F130" s="27"/>
      <x:c r="G130" s="27"/>
      <x:c r="H130" s="28"/>
      <x:c r="I130" s="29"/>
      <x:c r="J130" s="30"/>
      <x:c r="K130" s="27"/>
      <x:c r="L130" s="27"/>
      <x:c r="M130" s="27"/>
      <x:c r="N130" s="27"/>
      <x:c r="O130" s="28"/>
      <x:c r="P130" s="27"/>
      <x:c r="Q130" s="27"/>
      <x:c r="R130" s="32" t="str">
        <x:f>IF(AND($B130&lt;&gt;"",$G130&lt;&gt;"Done",$G130&lt;&gt;"Canceled",OR($L130="Yes",$H130&lt;=TODAY()+1,$F130="P0 Critical",$F130="P1 High",$G130="Blocked",$G130="Waiting on Others")),COUNT($R$5:R129)+1,"")</x:f>
      </x:c>
      <x:c r="S130" s="32" t="str">
        <x:f>IF(AND($B130&lt;&gt;"",$G130&lt;&gt;"Done",$G130&lt;&gt;"Canceled",OR($M130="Yes",$G130="Blocked",$G130="Waiting on Others")),COUNT($S$5:S129)+1,"")</x:f>
      </x:c>
    </x:row>
    <x:row r="131">
      <x:c r="A131" s="27"/>
      <x:c r="B131" s="27"/>
      <x:c r="C131" s="27"/>
      <x:c r="D131" s="27"/>
      <x:c r="E131" s="27"/>
      <x:c r="F131" s="27"/>
      <x:c r="G131" s="27"/>
      <x:c r="H131" s="28"/>
      <x:c r="I131" s="29"/>
      <x:c r="J131" s="30"/>
      <x:c r="K131" s="27"/>
      <x:c r="L131" s="27"/>
      <x:c r="M131" s="27"/>
      <x:c r="N131" s="27"/>
      <x:c r="O131" s="28"/>
      <x:c r="P131" s="27"/>
      <x:c r="Q131" s="27"/>
      <x:c r="R131" s="32" t="str">
        <x:f>IF(AND($B131&lt;&gt;"",$G131&lt;&gt;"Done",$G131&lt;&gt;"Canceled",OR($L131="Yes",$H131&lt;=TODAY()+1,$F131="P0 Critical",$F131="P1 High",$G131="Blocked",$G131="Waiting on Others")),COUNT($R$5:R130)+1,"")</x:f>
      </x:c>
      <x:c r="S131" s="32" t="str">
        <x:f>IF(AND($B131&lt;&gt;"",$G131&lt;&gt;"Done",$G131&lt;&gt;"Canceled",OR($M131="Yes",$G131="Blocked",$G131="Waiting on Others")),COUNT($S$5:S130)+1,"")</x:f>
      </x:c>
    </x:row>
    <x:row r="132">
      <x:c r="A132" s="27"/>
      <x:c r="B132" s="27"/>
      <x:c r="C132" s="27"/>
      <x:c r="D132" s="27"/>
      <x:c r="E132" s="27"/>
      <x:c r="F132" s="27"/>
      <x:c r="G132" s="27"/>
      <x:c r="H132" s="28"/>
      <x:c r="I132" s="29"/>
      <x:c r="J132" s="30"/>
      <x:c r="K132" s="27"/>
      <x:c r="L132" s="27"/>
      <x:c r="M132" s="27"/>
      <x:c r="N132" s="27"/>
      <x:c r="O132" s="28"/>
      <x:c r="P132" s="27"/>
      <x:c r="Q132" s="27"/>
      <x:c r="R132" s="32" t="str">
        <x:f>IF(AND($B132&lt;&gt;"",$G132&lt;&gt;"Done",$G132&lt;&gt;"Canceled",OR($L132="Yes",$H132&lt;=TODAY()+1,$F132="P0 Critical",$F132="P1 High",$G132="Blocked",$G132="Waiting on Others")),COUNT($R$5:R131)+1,"")</x:f>
      </x:c>
      <x:c r="S132" s="32" t="str">
        <x:f>IF(AND($B132&lt;&gt;"",$G132&lt;&gt;"Done",$G132&lt;&gt;"Canceled",OR($M132="Yes",$G132="Blocked",$G132="Waiting on Others")),COUNT($S$5:S131)+1,"")</x:f>
      </x:c>
    </x:row>
    <x:row r="133">
      <x:c r="A133" s="27"/>
      <x:c r="B133" s="27"/>
      <x:c r="C133" s="27"/>
      <x:c r="D133" s="27"/>
      <x:c r="E133" s="27"/>
      <x:c r="F133" s="27"/>
      <x:c r="G133" s="27"/>
      <x:c r="H133" s="28"/>
      <x:c r="I133" s="29"/>
      <x:c r="J133" s="30"/>
      <x:c r="K133" s="27"/>
      <x:c r="L133" s="27"/>
      <x:c r="M133" s="27"/>
      <x:c r="N133" s="27"/>
      <x:c r="O133" s="28"/>
      <x:c r="P133" s="27"/>
      <x:c r="Q133" s="27"/>
      <x:c r="R133" s="32" t="str">
        <x:f>IF(AND($B133&lt;&gt;"",$G133&lt;&gt;"Done",$G133&lt;&gt;"Canceled",OR($L133="Yes",$H133&lt;=TODAY()+1,$F133="P0 Critical",$F133="P1 High",$G133="Blocked",$G133="Waiting on Others")),COUNT($R$5:R132)+1,"")</x:f>
      </x:c>
      <x:c r="S133" s="32" t="str">
        <x:f>IF(AND($B133&lt;&gt;"",$G133&lt;&gt;"Done",$G133&lt;&gt;"Canceled",OR($M133="Yes",$G133="Blocked",$G133="Waiting on Others")),COUNT($S$5:S132)+1,"")</x:f>
      </x:c>
    </x:row>
    <x:row r="134">
      <x:c r="A134" s="27"/>
      <x:c r="B134" s="27"/>
      <x:c r="C134" s="27"/>
      <x:c r="D134" s="27"/>
      <x:c r="E134" s="27"/>
      <x:c r="F134" s="27"/>
      <x:c r="G134" s="27"/>
      <x:c r="H134" s="28"/>
      <x:c r="I134" s="29"/>
      <x:c r="J134" s="30"/>
      <x:c r="K134" s="27"/>
      <x:c r="L134" s="27"/>
      <x:c r="M134" s="27"/>
      <x:c r="N134" s="27"/>
      <x:c r="O134" s="28"/>
      <x:c r="P134" s="27"/>
      <x:c r="Q134" s="27"/>
      <x:c r="R134" s="32" t="str">
        <x:f>IF(AND($B134&lt;&gt;"",$G134&lt;&gt;"Done",$G134&lt;&gt;"Canceled",OR($L134="Yes",$H134&lt;=TODAY()+1,$F134="P0 Critical",$F134="P1 High",$G134="Blocked",$G134="Waiting on Others")),COUNT($R$5:R133)+1,"")</x:f>
      </x:c>
      <x:c r="S134" s="32" t="str">
        <x:f>IF(AND($B134&lt;&gt;"",$G134&lt;&gt;"Done",$G134&lt;&gt;"Canceled",OR($M134="Yes",$G134="Blocked",$G134="Waiting on Others")),COUNT($S$5:S133)+1,"")</x:f>
      </x:c>
    </x:row>
    <x:row r="135">
      <x:c r="A135" s="27"/>
      <x:c r="B135" s="27"/>
      <x:c r="C135" s="27"/>
      <x:c r="D135" s="27"/>
      <x:c r="E135" s="27"/>
      <x:c r="F135" s="27"/>
      <x:c r="G135" s="27"/>
      <x:c r="H135" s="28"/>
      <x:c r="I135" s="29"/>
      <x:c r="J135" s="30"/>
      <x:c r="K135" s="27"/>
      <x:c r="L135" s="27"/>
      <x:c r="M135" s="27"/>
      <x:c r="N135" s="27"/>
      <x:c r="O135" s="28"/>
      <x:c r="P135" s="27"/>
      <x:c r="Q135" s="27"/>
      <x:c r="R135" s="32" t="str">
        <x:f>IF(AND($B135&lt;&gt;"",$G135&lt;&gt;"Done",$G135&lt;&gt;"Canceled",OR($L135="Yes",$H135&lt;=TODAY()+1,$F135="P0 Critical",$F135="P1 High",$G135="Blocked",$G135="Waiting on Others")),COUNT($R$5:R134)+1,"")</x:f>
      </x:c>
      <x:c r="S135" s="32" t="str">
        <x:f>IF(AND($B135&lt;&gt;"",$G135&lt;&gt;"Done",$G135&lt;&gt;"Canceled",OR($M135="Yes",$G135="Blocked",$G135="Waiting on Others")),COUNT($S$5:S134)+1,"")</x:f>
      </x:c>
    </x:row>
    <x:row r="136">
      <x:c r="A136" s="27"/>
      <x:c r="B136" s="27"/>
      <x:c r="C136" s="27"/>
      <x:c r="D136" s="27"/>
      <x:c r="E136" s="27"/>
      <x:c r="F136" s="27"/>
      <x:c r="G136" s="27"/>
      <x:c r="H136" s="28"/>
      <x:c r="I136" s="29"/>
      <x:c r="J136" s="30"/>
      <x:c r="K136" s="27"/>
      <x:c r="L136" s="27"/>
      <x:c r="M136" s="27"/>
      <x:c r="N136" s="27"/>
      <x:c r="O136" s="28"/>
      <x:c r="P136" s="27"/>
      <x:c r="Q136" s="27"/>
      <x:c r="R136" s="32" t="str">
        <x:f>IF(AND($B136&lt;&gt;"",$G136&lt;&gt;"Done",$G136&lt;&gt;"Canceled",OR($L136="Yes",$H136&lt;=TODAY()+1,$F136="P0 Critical",$F136="P1 High",$G136="Blocked",$G136="Waiting on Others")),COUNT($R$5:R135)+1,"")</x:f>
      </x:c>
      <x:c r="S136" s="32" t="str">
        <x:f>IF(AND($B136&lt;&gt;"",$G136&lt;&gt;"Done",$G136&lt;&gt;"Canceled",OR($M136="Yes",$G136="Blocked",$G136="Waiting on Others")),COUNT($S$5:S135)+1,"")</x:f>
      </x:c>
    </x:row>
    <x:row r="137">
      <x:c r="A137" s="27"/>
      <x:c r="B137" s="27"/>
      <x:c r="C137" s="27"/>
      <x:c r="D137" s="27"/>
      <x:c r="E137" s="27"/>
      <x:c r="F137" s="27"/>
      <x:c r="G137" s="27"/>
      <x:c r="H137" s="28"/>
      <x:c r="I137" s="29"/>
      <x:c r="J137" s="30"/>
      <x:c r="K137" s="27"/>
      <x:c r="L137" s="27"/>
      <x:c r="M137" s="27"/>
      <x:c r="N137" s="27"/>
      <x:c r="O137" s="28"/>
      <x:c r="P137" s="27"/>
      <x:c r="Q137" s="27"/>
      <x:c r="R137" s="32" t="str">
        <x:f>IF(AND($B137&lt;&gt;"",$G137&lt;&gt;"Done",$G137&lt;&gt;"Canceled",OR($L137="Yes",$H137&lt;=TODAY()+1,$F137="P0 Critical",$F137="P1 High",$G137="Blocked",$G137="Waiting on Others")),COUNT($R$5:R136)+1,"")</x:f>
      </x:c>
      <x:c r="S137" s="32" t="str">
        <x:f>IF(AND($B137&lt;&gt;"",$G137&lt;&gt;"Done",$G137&lt;&gt;"Canceled",OR($M137="Yes",$G137="Blocked",$G137="Waiting on Others")),COUNT($S$5:S136)+1,"")</x:f>
      </x:c>
    </x:row>
    <x:row r="138">
      <x:c r="A138" s="27"/>
      <x:c r="B138" s="27"/>
      <x:c r="C138" s="27"/>
      <x:c r="D138" s="27"/>
      <x:c r="E138" s="27"/>
      <x:c r="F138" s="27"/>
      <x:c r="G138" s="27"/>
      <x:c r="H138" s="28"/>
      <x:c r="I138" s="29"/>
      <x:c r="J138" s="30"/>
      <x:c r="K138" s="27"/>
      <x:c r="L138" s="27"/>
      <x:c r="M138" s="27"/>
      <x:c r="N138" s="27"/>
      <x:c r="O138" s="28"/>
      <x:c r="P138" s="27"/>
      <x:c r="Q138" s="27"/>
      <x:c r="R138" s="32" t="str">
        <x:f>IF(AND($B138&lt;&gt;"",$G138&lt;&gt;"Done",$G138&lt;&gt;"Canceled",OR($L138="Yes",$H138&lt;=TODAY()+1,$F138="P0 Critical",$F138="P1 High",$G138="Blocked",$G138="Waiting on Others")),COUNT($R$5:R137)+1,"")</x:f>
      </x:c>
      <x:c r="S138" s="32" t="str">
        <x:f>IF(AND($B138&lt;&gt;"",$G138&lt;&gt;"Done",$G138&lt;&gt;"Canceled",OR($M138="Yes",$G138="Blocked",$G138="Waiting on Others")),COUNT($S$5:S137)+1,"")</x:f>
      </x:c>
    </x:row>
    <x:row r="139">
      <x:c r="A139" s="27"/>
      <x:c r="B139" s="27"/>
      <x:c r="C139" s="27"/>
      <x:c r="D139" s="27"/>
      <x:c r="E139" s="27"/>
      <x:c r="F139" s="27"/>
      <x:c r="G139" s="27"/>
      <x:c r="H139" s="28"/>
      <x:c r="I139" s="29"/>
      <x:c r="J139" s="30"/>
      <x:c r="K139" s="27"/>
      <x:c r="L139" s="27"/>
      <x:c r="M139" s="27"/>
      <x:c r="N139" s="27"/>
      <x:c r="O139" s="28"/>
      <x:c r="P139" s="27"/>
      <x:c r="Q139" s="27"/>
      <x:c r="R139" s="32" t="str">
        <x:f>IF(AND($B139&lt;&gt;"",$G139&lt;&gt;"Done",$G139&lt;&gt;"Canceled",OR($L139="Yes",$H139&lt;=TODAY()+1,$F139="P0 Critical",$F139="P1 High",$G139="Blocked",$G139="Waiting on Others")),COUNT($R$5:R138)+1,"")</x:f>
      </x:c>
      <x:c r="S139" s="32" t="str">
        <x:f>IF(AND($B139&lt;&gt;"",$G139&lt;&gt;"Done",$G139&lt;&gt;"Canceled",OR($M139="Yes",$G139="Blocked",$G139="Waiting on Others")),COUNT($S$5:S138)+1,"")</x:f>
      </x:c>
    </x:row>
    <x:row r="140">
      <x:c r="A140" s="27"/>
      <x:c r="B140" s="27"/>
      <x:c r="C140" s="27"/>
      <x:c r="D140" s="27"/>
      <x:c r="E140" s="27"/>
      <x:c r="F140" s="27"/>
      <x:c r="G140" s="27"/>
      <x:c r="H140" s="28"/>
      <x:c r="I140" s="29"/>
      <x:c r="J140" s="30"/>
      <x:c r="K140" s="27"/>
      <x:c r="L140" s="27"/>
      <x:c r="M140" s="27"/>
      <x:c r="N140" s="27"/>
      <x:c r="O140" s="28"/>
      <x:c r="P140" s="27"/>
      <x:c r="Q140" s="27"/>
      <x:c r="R140" s="32" t="str">
        <x:f>IF(AND($B140&lt;&gt;"",$G140&lt;&gt;"Done",$G140&lt;&gt;"Canceled",OR($L140="Yes",$H140&lt;=TODAY()+1,$F140="P0 Critical",$F140="P1 High",$G140="Blocked",$G140="Waiting on Others")),COUNT($R$5:R139)+1,"")</x:f>
      </x:c>
      <x:c r="S140" s="32" t="str">
        <x:f>IF(AND($B140&lt;&gt;"",$G140&lt;&gt;"Done",$G140&lt;&gt;"Canceled",OR($M140="Yes",$G140="Blocked",$G140="Waiting on Others")),COUNT($S$5:S139)+1,"")</x:f>
      </x:c>
    </x:row>
    <x:row r="141">
      <x:c r="A141" s="27"/>
      <x:c r="B141" s="27"/>
      <x:c r="C141" s="27"/>
      <x:c r="D141" s="27"/>
      <x:c r="E141" s="27"/>
      <x:c r="F141" s="27"/>
      <x:c r="G141" s="27"/>
      <x:c r="H141" s="28"/>
      <x:c r="I141" s="29"/>
      <x:c r="J141" s="30"/>
      <x:c r="K141" s="27"/>
      <x:c r="L141" s="27"/>
      <x:c r="M141" s="27"/>
      <x:c r="N141" s="27"/>
      <x:c r="O141" s="28"/>
      <x:c r="P141" s="27"/>
      <x:c r="Q141" s="27"/>
      <x:c r="R141" s="32" t="str">
        <x:f>IF(AND($B141&lt;&gt;"",$G141&lt;&gt;"Done",$G141&lt;&gt;"Canceled",OR($L141="Yes",$H141&lt;=TODAY()+1,$F141="P0 Critical",$F141="P1 High",$G141="Blocked",$G141="Waiting on Others")),COUNT($R$5:R140)+1,"")</x:f>
      </x:c>
      <x:c r="S141" s="32" t="str">
        <x:f>IF(AND($B141&lt;&gt;"",$G141&lt;&gt;"Done",$G141&lt;&gt;"Canceled",OR($M141="Yes",$G141="Blocked",$G141="Waiting on Others")),COUNT($S$5:S140)+1,"")</x:f>
      </x:c>
    </x:row>
    <x:row r="142">
      <x:c r="A142" s="27"/>
      <x:c r="B142" s="27"/>
      <x:c r="C142" s="27"/>
      <x:c r="D142" s="27"/>
      <x:c r="E142" s="27"/>
      <x:c r="F142" s="27"/>
      <x:c r="G142" s="27"/>
      <x:c r="H142" s="28"/>
      <x:c r="I142" s="29"/>
      <x:c r="J142" s="30"/>
      <x:c r="K142" s="27"/>
      <x:c r="L142" s="27"/>
      <x:c r="M142" s="27"/>
      <x:c r="N142" s="27"/>
      <x:c r="O142" s="28"/>
      <x:c r="P142" s="27"/>
      <x:c r="Q142" s="27"/>
      <x:c r="R142" s="32" t="str">
        <x:f>IF(AND($B142&lt;&gt;"",$G142&lt;&gt;"Done",$G142&lt;&gt;"Canceled",OR($L142="Yes",$H142&lt;=TODAY()+1,$F142="P0 Critical",$F142="P1 High",$G142="Blocked",$G142="Waiting on Others")),COUNT($R$5:R141)+1,"")</x:f>
      </x:c>
      <x:c r="S142" s="32" t="str">
        <x:f>IF(AND($B142&lt;&gt;"",$G142&lt;&gt;"Done",$G142&lt;&gt;"Canceled",OR($M142="Yes",$G142="Blocked",$G142="Waiting on Others")),COUNT($S$5:S141)+1,"")</x:f>
      </x:c>
    </x:row>
    <x:row r="143">
      <x:c r="A143" s="27"/>
      <x:c r="B143" s="27"/>
      <x:c r="C143" s="27"/>
      <x:c r="D143" s="27"/>
      <x:c r="E143" s="27"/>
      <x:c r="F143" s="27"/>
      <x:c r="G143" s="27"/>
      <x:c r="H143" s="28"/>
      <x:c r="I143" s="29"/>
      <x:c r="J143" s="30"/>
      <x:c r="K143" s="27"/>
      <x:c r="L143" s="27"/>
      <x:c r="M143" s="27"/>
      <x:c r="N143" s="27"/>
      <x:c r="O143" s="28"/>
      <x:c r="P143" s="27"/>
      <x:c r="Q143" s="27"/>
      <x:c r="R143" s="32" t="str">
        <x:f>IF(AND($B143&lt;&gt;"",$G143&lt;&gt;"Done",$G143&lt;&gt;"Canceled",OR($L143="Yes",$H143&lt;=TODAY()+1,$F143="P0 Critical",$F143="P1 High",$G143="Blocked",$G143="Waiting on Others")),COUNT($R$5:R142)+1,"")</x:f>
      </x:c>
      <x:c r="S143" s="32" t="str">
        <x:f>IF(AND($B143&lt;&gt;"",$G143&lt;&gt;"Done",$G143&lt;&gt;"Canceled",OR($M143="Yes",$G143="Blocked",$G143="Waiting on Others")),COUNT($S$5:S142)+1,"")</x:f>
      </x:c>
    </x:row>
    <x:row r="144">
      <x:c r="A144" s="27"/>
      <x:c r="B144" s="27"/>
      <x:c r="C144" s="27"/>
      <x:c r="D144" s="27"/>
      <x:c r="E144" s="27"/>
      <x:c r="F144" s="27"/>
      <x:c r="G144" s="27"/>
      <x:c r="H144" s="28"/>
      <x:c r="I144" s="29"/>
      <x:c r="J144" s="30"/>
      <x:c r="K144" s="27"/>
      <x:c r="L144" s="27"/>
      <x:c r="M144" s="27"/>
      <x:c r="N144" s="27"/>
      <x:c r="O144" s="28"/>
      <x:c r="P144" s="27"/>
      <x:c r="Q144" s="27"/>
      <x:c r="R144" s="32" t="str">
        <x:f>IF(AND($B144&lt;&gt;"",$G144&lt;&gt;"Done",$G144&lt;&gt;"Canceled",OR($L144="Yes",$H144&lt;=TODAY()+1,$F144="P0 Critical",$F144="P1 High",$G144="Blocked",$G144="Waiting on Others")),COUNT($R$5:R143)+1,"")</x:f>
      </x:c>
      <x:c r="S144" s="32" t="str">
        <x:f>IF(AND($B144&lt;&gt;"",$G144&lt;&gt;"Done",$G144&lt;&gt;"Canceled",OR($M144="Yes",$G144="Blocked",$G144="Waiting on Others")),COUNT($S$5:S143)+1,"")</x:f>
      </x:c>
    </x:row>
    <x:row r="145">
      <x:c r="A145" s="27"/>
      <x:c r="B145" s="27"/>
      <x:c r="C145" s="27"/>
      <x:c r="D145" s="27"/>
      <x:c r="E145" s="27"/>
      <x:c r="F145" s="27"/>
      <x:c r="G145" s="27"/>
      <x:c r="H145" s="28"/>
      <x:c r="I145" s="29"/>
      <x:c r="J145" s="30"/>
      <x:c r="K145" s="27"/>
      <x:c r="L145" s="27"/>
      <x:c r="M145" s="27"/>
      <x:c r="N145" s="27"/>
      <x:c r="O145" s="28"/>
      <x:c r="P145" s="27"/>
      <x:c r="Q145" s="27"/>
      <x:c r="R145" s="32" t="str">
        <x:f>IF(AND($B145&lt;&gt;"",$G145&lt;&gt;"Done",$G145&lt;&gt;"Canceled",OR($L145="Yes",$H145&lt;=TODAY()+1,$F145="P0 Critical",$F145="P1 High",$G145="Blocked",$G145="Waiting on Others")),COUNT($R$5:R144)+1,"")</x:f>
      </x:c>
      <x:c r="S145" s="32" t="str">
        <x:f>IF(AND($B145&lt;&gt;"",$G145&lt;&gt;"Done",$G145&lt;&gt;"Canceled",OR($M145="Yes",$G145="Blocked",$G145="Waiting on Others")),COUNT($S$5:S144)+1,"")</x:f>
      </x:c>
    </x:row>
    <x:row r="146">
      <x:c r="A146" s="27"/>
      <x:c r="B146" s="27"/>
      <x:c r="C146" s="27"/>
      <x:c r="D146" s="27"/>
      <x:c r="E146" s="27"/>
      <x:c r="F146" s="27"/>
      <x:c r="G146" s="27"/>
      <x:c r="H146" s="28"/>
      <x:c r="I146" s="29"/>
      <x:c r="J146" s="30"/>
      <x:c r="K146" s="27"/>
      <x:c r="L146" s="27"/>
      <x:c r="M146" s="27"/>
      <x:c r="N146" s="27"/>
      <x:c r="O146" s="28"/>
      <x:c r="P146" s="27"/>
      <x:c r="Q146" s="27"/>
      <x:c r="R146" s="32" t="str">
        <x:f>IF(AND($B146&lt;&gt;"",$G146&lt;&gt;"Done",$G146&lt;&gt;"Canceled",OR($L146="Yes",$H146&lt;=TODAY()+1,$F146="P0 Critical",$F146="P1 High",$G146="Blocked",$G146="Waiting on Others")),COUNT($R$5:R145)+1,"")</x:f>
      </x:c>
      <x:c r="S146" s="32" t="str">
        <x:f>IF(AND($B146&lt;&gt;"",$G146&lt;&gt;"Done",$G146&lt;&gt;"Canceled",OR($M146="Yes",$G146="Blocked",$G146="Waiting on Others")),COUNT($S$5:S145)+1,"")</x:f>
      </x:c>
    </x:row>
    <x:row r="147">
      <x:c r="A147" s="27"/>
      <x:c r="B147" s="27"/>
      <x:c r="C147" s="27"/>
      <x:c r="D147" s="27"/>
      <x:c r="E147" s="27"/>
      <x:c r="F147" s="27"/>
      <x:c r="G147" s="27"/>
      <x:c r="H147" s="28"/>
      <x:c r="I147" s="29"/>
      <x:c r="J147" s="30"/>
      <x:c r="K147" s="27"/>
      <x:c r="L147" s="27"/>
      <x:c r="M147" s="27"/>
      <x:c r="N147" s="27"/>
      <x:c r="O147" s="28"/>
      <x:c r="P147" s="27"/>
      <x:c r="Q147" s="27"/>
      <x:c r="R147" s="32" t="str">
        <x:f>IF(AND($B147&lt;&gt;"",$G147&lt;&gt;"Done",$G147&lt;&gt;"Canceled",OR($L147="Yes",$H147&lt;=TODAY()+1,$F147="P0 Critical",$F147="P1 High",$G147="Blocked",$G147="Waiting on Others")),COUNT($R$5:R146)+1,"")</x:f>
      </x:c>
      <x:c r="S147" s="32" t="str">
        <x:f>IF(AND($B147&lt;&gt;"",$G147&lt;&gt;"Done",$G147&lt;&gt;"Canceled",OR($M147="Yes",$G147="Blocked",$G147="Waiting on Others")),COUNT($S$5:S146)+1,"")</x:f>
      </x:c>
    </x:row>
    <x:row r="148">
      <x:c r="A148" s="27"/>
      <x:c r="B148" s="27"/>
      <x:c r="C148" s="27"/>
      <x:c r="D148" s="27"/>
      <x:c r="E148" s="27"/>
      <x:c r="F148" s="27"/>
      <x:c r="G148" s="27"/>
      <x:c r="H148" s="28"/>
      <x:c r="I148" s="29"/>
      <x:c r="J148" s="30"/>
      <x:c r="K148" s="27"/>
      <x:c r="L148" s="27"/>
      <x:c r="M148" s="27"/>
      <x:c r="N148" s="27"/>
      <x:c r="O148" s="28"/>
      <x:c r="P148" s="27"/>
      <x:c r="Q148" s="27"/>
      <x:c r="R148" s="32" t="str">
        <x:f>IF(AND($B148&lt;&gt;"",$G148&lt;&gt;"Done",$G148&lt;&gt;"Canceled",OR($L148="Yes",$H148&lt;=TODAY()+1,$F148="P0 Critical",$F148="P1 High",$G148="Blocked",$G148="Waiting on Others")),COUNT($R$5:R147)+1,"")</x:f>
      </x:c>
      <x:c r="S148" s="32" t="str">
        <x:f>IF(AND($B148&lt;&gt;"",$G148&lt;&gt;"Done",$G148&lt;&gt;"Canceled",OR($M148="Yes",$G148="Blocked",$G148="Waiting on Others")),COUNT($S$5:S147)+1,"")</x:f>
      </x:c>
    </x:row>
    <x:row r="149">
      <x:c r="A149" s="27"/>
      <x:c r="B149" s="27"/>
      <x:c r="C149" s="27"/>
      <x:c r="D149" s="27"/>
      <x:c r="E149" s="27"/>
      <x:c r="F149" s="27"/>
      <x:c r="G149" s="27"/>
      <x:c r="H149" s="28"/>
      <x:c r="I149" s="29"/>
      <x:c r="J149" s="30"/>
      <x:c r="K149" s="27"/>
      <x:c r="L149" s="27"/>
      <x:c r="M149" s="27"/>
      <x:c r="N149" s="27"/>
      <x:c r="O149" s="28"/>
      <x:c r="P149" s="27"/>
      <x:c r="Q149" s="27"/>
      <x:c r="R149" s="32" t="str">
        <x:f>IF(AND($B149&lt;&gt;"",$G149&lt;&gt;"Done",$G149&lt;&gt;"Canceled",OR($L149="Yes",$H149&lt;=TODAY()+1,$F149="P0 Critical",$F149="P1 High",$G149="Blocked",$G149="Waiting on Others")),COUNT($R$5:R148)+1,"")</x:f>
      </x:c>
      <x:c r="S149" s="32" t="str">
        <x:f>IF(AND($B149&lt;&gt;"",$G149&lt;&gt;"Done",$G149&lt;&gt;"Canceled",OR($M149="Yes",$G149="Blocked",$G149="Waiting on Others")),COUNT($S$5:S148)+1,"")</x:f>
      </x:c>
    </x:row>
    <x:row r="150">
      <x:c r="A150" s="27"/>
      <x:c r="B150" s="27"/>
      <x:c r="C150" s="27"/>
      <x:c r="D150" s="27"/>
      <x:c r="E150" s="27"/>
      <x:c r="F150" s="27"/>
      <x:c r="G150" s="27"/>
      <x:c r="H150" s="28"/>
      <x:c r="I150" s="29"/>
      <x:c r="J150" s="30"/>
      <x:c r="K150" s="27"/>
      <x:c r="L150" s="27"/>
      <x:c r="M150" s="27"/>
      <x:c r="N150" s="27"/>
      <x:c r="O150" s="28"/>
      <x:c r="P150" s="27"/>
      <x:c r="Q150" s="27"/>
      <x:c r="R150" s="32" t="str">
        <x:f>IF(AND($B150&lt;&gt;"",$G150&lt;&gt;"Done",$G150&lt;&gt;"Canceled",OR($L150="Yes",$H150&lt;=TODAY()+1,$F150="P0 Critical",$F150="P1 High",$G150="Blocked",$G150="Waiting on Others")),COUNT($R$5:R149)+1,"")</x:f>
      </x:c>
      <x:c r="S150" s="32" t="str">
        <x:f>IF(AND($B150&lt;&gt;"",$G150&lt;&gt;"Done",$G150&lt;&gt;"Canceled",OR($M150="Yes",$G150="Blocked",$G150="Waiting on Others")),COUNT($S$5:S149)+1,"")</x:f>
      </x:c>
    </x:row>
    <x:row r="151">
      <x:c r="A151" s="27"/>
      <x:c r="B151" s="27"/>
      <x:c r="C151" s="27"/>
      <x:c r="D151" s="27"/>
      <x:c r="E151" s="27"/>
      <x:c r="F151" s="27"/>
      <x:c r="G151" s="27"/>
      <x:c r="H151" s="28"/>
      <x:c r="I151" s="29"/>
      <x:c r="J151" s="30"/>
      <x:c r="K151" s="27"/>
      <x:c r="L151" s="27"/>
      <x:c r="M151" s="27"/>
      <x:c r="N151" s="27"/>
      <x:c r="O151" s="28"/>
      <x:c r="P151" s="27"/>
      <x:c r="Q151" s="27"/>
      <x:c r="R151" s="32" t="str">
        <x:f>IF(AND($B151&lt;&gt;"",$G151&lt;&gt;"Done",$G151&lt;&gt;"Canceled",OR($L151="Yes",$H151&lt;=TODAY()+1,$F151="P0 Critical",$F151="P1 High",$G151="Blocked",$G151="Waiting on Others")),COUNT($R$5:R150)+1,"")</x:f>
      </x:c>
      <x:c r="S151" s="32" t="str">
        <x:f>IF(AND($B151&lt;&gt;"",$G151&lt;&gt;"Done",$G151&lt;&gt;"Canceled",OR($M151="Yes",$G151="Blocked",$G151="Waiting on Others")),COUNT($S$5:S150)+1,"")</x:f>
      </x:c>
    </x:row>
    <x:row r="152">
      <x:c r="A152" s="27"/>
      <x:c r="B152" s="27"/>
      <x:c r="C152" s="27"/>
      <x:c r="D152" s="27"/>
      <x:c r="E152" s="27"/>
      <x:c r="F152" s="27"/>
      <x:c r="G152" s="27"/>
      <x:c r="H152" s="28"/>
      <x:c r="I152" s="29"/>
      <x:c r="J152" s="30"/>
      <x:c r="K152" s="27"/>
      <x:c r="L152" s="27"/>
      <x:c r="M152" s="27"/>
      <x:c r="N152" s="27"/>
      <x:c r="O152" s="28"/>
      <x:c r="P152" s="27"/>
      <x:c r="Q152" s="27"/>
      <x:c r="R152" s="32" t="str">
        <x:f>IF(AND($B152&lt;&gt;"",$G152&lt;&gt;"Done",$G152&lt;&gt;"Canceled",OR($L152="Yes",$H152&lt;=TODAY()+1,$F152="P0 Critical",$F152="P1 High",$G152="Blocked",$G152="Waiting on Others")),COUNT($R$5:R151)+1,"")</x:f>
      </x:c>
      <x:c r="S152" s="32" t="str">
        <x:f>IF(AND($B152&lt;&gt;"",$G152&lt;&gt;"Done",$G152&lt;&gt;"Canceled",OR($M152="Yes",$G152="Blocked",$G152="Waiting on Others")),COUNT($S$5:S151)+1,"")</x:f>
      </x:c>
    </x:row>
    <x:row r="153">
      <x:c r="A153" s="27"/>
      <x:c r="B153" s="27"/>
      <x:c r="C153" s="27"/>
      <x:c r="D153" s="27"/>
      <x:c r="E153" s="27"/>
      <x:c r="F153" s="27"/>
      <x:c r="G153" s="27"/>
      <x:c r="H153" s="28"/>
      <x:c r="I153" s="29"/>
      <x:c r="J153" s="30"/>
      <x:c r="K153" s="27"/>
      <x:c r="L153" s="27"/>
      <x:c r="M153" s="27"/>
      <x:c r="N153" s="27"/>
      <x:c r="O153" s="28"/>
      <x:c r="P153" s="27"/>
      <x:c r="Q153" s="27"/>
      <x:c r="R153" s="32" t="str">
        <x:f>IF(AND($B153&lt;&gt;"",$G153&lt;&gt;"Done",$G153&lt;&gt;"Canceled",OR($L153="Yes",$H153&lt;=TODAY()+1,$F153="P0 Critical",$F153="P1 High",$G153="Blocked",$G153="Waiting on Others")),COUNT($R$5:R152)+1,"")</x:f>
      </x:c>
      <x:c r="S153" s="32" t="str">
        <x:f>IF(AND($B153&lt;&gt;"",$G153&lt;&gt;"Done",$G153&lt;&gt;"Canceled",OR($M153="Yes",$G153="Blocked",$G153="Waiting on Others")),COUNT($S$5:S152)+1,"")</x:f>
      </x:c>
    </x:row>
    <x:row r="154">
      <x:c r="A154" s="27"/>
      <x:c r="B154" s="27"/>
      <x:c r="C154" s="27"/>
      <x:c r="D154" s="27"/>
      <x:c r="E154" s="27"/>
      <x:c r="F154" s="27"/>
      <x:c r="G154" s="27"/>
      <x:c r="H154" s="28"/>
      <x:c r="I154" s="29"/>
      <x:c r="J154" s="30"/>
      <x:c r="K154" s="27"/>
      <x:c r="L154" s="27"/>
      <x:c r="M154" s="27"/>
      <x:c r="N154" s="27"/>
      <x:c r="O154" s="28"/>
      <x:c r="P154" s="27"/>
      <x:c r="Q154" s="27"/>
      <x:c r="R154" s="32" t="str">
        <x:f>IF(AND($B154&lt;&gt;"",$G154&lt;&gt;"Done",$G154&lt;&gt;"Canceled",OR($L154="Yes",$H154&lt;=TODAY()+1,$F154="P0 Critical",$F154="P1 High",$G154="Blocked",$G154="Waiting on Others")),COUNT($R$5:R153)+1,"")</x:f>
      </x:c>
      <x:c r="S154" s="32" t="str">
        <x:f>IF(AND($B154&lt;&gt;"",$G154&lt;&gt;"Done",$G154&lt;&gt;"Canceled",OR($M154="Yes",$G154="Blocked",$G154="Waiting on Others")),COUNT($S$5:S153)+1,"")</x:f>
      </x:c>
    </x:row>
    <x:row r="155">
      <x:c r="A155" s="27"/>
      <x:c r="B155" s="27"/>
      <x:c r="C155" s="27"/>
      <x:c r="D155" s="27"/>
      <x:c r="E155" s="27"/>
      <x:c r="F155" s="27"/>
      <x:c r="G155" s="27"/>
      <x:c r="H155" s="28"/>
      <x:c r="I155" s="29"/>
      <x:c r="J155" s="30"/>
      <x:c r="K155" s="27"/>
      <x:c r="L155" s="27"/>
      <x:c r="M155" s="27"/>
      <x:c r="N155" s="27"/>
      <x:c r="O155" s="28"/>
      <x:c r="P155" s="27"/>
      <x:c r="Q155" s="27"/>
      <x:c r="R155" s="32" t="str">
        <x:f>IF(AND($B155&lt;&gt;"",$G155&lt;&gt;"Done",$G155&lt;&gt;"Canceled",OR($L155="Yes",$H155&lt;=TODAY()+1,$F155="P0 Critical",$F155="P1 High",$G155="Blocked",$G155="Waiting on Others")),COUNT($R$5:R154)+1,"")</x:f>
      </x:c>
      <x:c r="S155" s="32" t="str">
        <x:f>IF(AND($B155&lt;&gt;"",$G155&lt;&gt;"Done",$G155&lt;&gt;"Canceled",OR($M155="Yes",$G155="Blocked",$G155="Waiting on Others")),COUNT($S$5:S154)+1,"")</x:f>
      </x:c>
    </x:row>
    <x:row r="156">
      <x:c r="A156" s="27"/>
      <x:c r="B156" s="27"/>
      <x:c r="C156" s="27"/>
      <x:c r="D156" s="27"/>
      <x:c r="E156" s="27"/>
      <x:c r="F156" s="27"/>
      <x:c r="G156" s="27"/>
      <x:c r="H156" s="28"/>
      <x:c r="I156" s="29"/>
      <x:c r="J156" s="30"/>
      <x:c r="K156" s="27"/>
      <x:c r="L156" s="27"/>
      <x:c r="M156" s="27"/>
      <x:c r="N156" s="27"/>
      <x:c r="O156" s="28"/>
      <x:c r="P156" s="27"/>
      <x:c r="Q156" s="27"/>
      <x:c r="R156" s="32" t="str">
        <x:f>IF(AND($B156&lt;&gt;"",$G156&lt;&gt;"Done",$G156&lt;&gt;"Canceled",OR($L156="Yes",$H156&lt;=TODAY()+1,$F156="P0 Critical",$F156="P1 High",$G156="Blocked",$G156="Waiting on Others")),COUNT($R$5:R155)+1,"")</x:f>
      </x:c>
      <x:c r="S156" s="32" t="str">
        <x:f>IF(AND($B156&lt;&gt;"",$G156&lt;&gt;"Done",$G156&lt;&gt;"Canceled",OR($M156="Yes",$G156="Blocked",$G156="Waiting on Others")),COUNT($S$5:S155)+1,"")</x:f>
      </x:c>
    </x:row>
    <x:row r="157">
      <x:c r="A157" s="27"/>
      <x:c r="B157" s="27"/>
      <x:c r="C157" s="27"/>
      <x:c r="D157" s="27"/>
      <x:c r="E157" s="27"/>
      <x:c r="F157" s="27"/>
      <x:c r="G157" s="27"/>
      <x:c r="H157" s="28"/>
      <x:c r="I157" s="29"/>
      <x:c r="J157" s="30"/>
      <x:c r="K157" s="27"/>
      <x:c r="L157" s="27"/>
      <x:c r="M157" s="27"/>
      <x:c r="N157" s="27"/>
      <x:c r="O157" s="28"/>
      <x:c r="P157" s="27"/>
      <x:c r="Q157" s="27"/>
      <x:c r="R157" s="32" t="str">
        <x:f>IF(AND($B157&lt;&gt;"",$G157&lt;&gt;"Done",$G157&lt;&gt;"Canceled",OR($L157="Yes",$H157&lt;=TODAY()+1,$F157="P0 Critical",$F157="P1 High",$G157="Blocked",$G157="Waiting on Others")),COUNT($R$5:R156)+1,"")</x:f>
      </x:c>
      <x:c r="S157" s="32" t="str">
        <x:f>IF(AND($B157&lt;&gt;"",$G157&lt;&gt;"Done",$G157&lt;&gt;"Canceled",OR($M157="Yes",$G157="Blocked",$G157="Waiting on Others")),COUNT($S$5:S156)+1,"")</x:f>
      </x:c>
    </x:row>
    <x:row r="158">
      <x:c r="A158" s="27"/>
      <x:c r="B158" s="27"/>
      <x:c r="C158" s="27"/>
      <x:c r="D158" s="27"/>
      <x:c r="E158" s="27"/>
      <x:c r="F158" s="27"/>
      <x:c r="G158" s="27"/>
      <x:c r="H158" s="28"/>
      <x:c r="I158" s="29"/>
      <x:c r="J158" s="30"/>
      <x:c r="K158" s="27"/>
      <x:c r="L158" s="27"/>
      <x:c r="M158" s="27"/>
      <x:c r="N158" s="27"/>
      <x:c r="O158" s="28"/>
      <x:c r="P158" s="27"/>
      <x:c r="Q158" s="27"/>
      <x:c r="R158" s="32" t="str">
        <x:f>IF(AND($B158&lt;&gt;"",$G158&lt;&gt;"Done",$G158&lt;&gt;"Canceled",OR($L158="Yes",$H158&lt;=TODAY()+1,$F158="P0 Critical",$F158="P1 High",$G158="Blocked",$G158="Waiting on Others")),COUNT($R$5:R157)+1,"")</x:f>
      </x:c>
      <x:c r="S158" s="32" t="str">
        <x:f>IF(AND($B158&lt;&gt;"",$G158&lt;&gt;"Done",$G158&lt;&gt;"Canceled",OR($M158="Yes",$G158="Blocked",$G158="Waiting on Others")),COUNT($S$5:S157)+1,"")</x:f>
      </x:c>
    </x:row>
    <x:row r="159">
      <x:c r="A159" s="27"/>
      <x:c r="B159" s="27"/>
      <x:c r="C159" s="27"/>
      <x:c r="D159" s="27"/>
      <x:c r="E159" s="27"/>
      <x:c r="F159" s="27"/>
      <x:c r="G159" s="27"/>
      <x:c r="H159" s="28"/>
      <x:c r="I159" s="29"/>
      <x:c r="J159" s="30"/>
      <x:c r="K159" s="27"/>
      <x:c r="L159" s="27"/>
      <x:c r="M159" s="27"/>
      <x:c r="N159" s="27"/>
      <x:c r="O159" s="28"/>
      <x:c r="P159" s="27"/>
      <x:c r="Q159" s="27"/>
      <x:c r="R159" s="32" t="str">
        <x:f>IF(AND($B159&lt;&gt;"",$G159&lt;&gt;"Done",$G159&lt;&gt;"Canceled",OR($L159="Yes",$H159&lt;=TODAY()+1,$F159="P0 Critical",$F159="P1 High",$G159="Blocked",$G159="Waiting on Others")),COUNT($R$5:R158)+1,"")</x:f>
      </x:c>
      <x:c r="S159" s="32" t="str">
        <x:f>IF(AND($B159&lt;&gt;"",$G159&lt;&gt;"Done",$G159&lt;&gt;"Canceled",OR($M159="Yes",$G159="Blocked",$G159="Waiting on Others")),COUNT($S$5:S158)+1,"")</x:f>
      </x:c>
    </x:row>
    <x:row r="160">
      <x:c r="A160" s="27"/>
      <x:c r="B160" s="27"/>
      <x:c r="C160" s="27"/>
      <x:c r="D160" s="27"/>
      <x:c r="E160" s="27"/>
      <x:c r="F160" s="27"/>
      <x:c r="G160" s="27"/>
      <x:c r="H160" s="28"/>
      <x:c r="I160" s="29"/>
      <x:c r="J160" s="30"/>
      <x:c r="K160" s="27"/>
      <x:c r="L160" s="27"/>
      <x:c r="M160" s="27"/>
      <x:c r="N160" s="27"/>
      <x:c r="O160" s="28"/>
      <x:c r="P160" s="27"/>
      <x:c r="Q160" s="27"/>
      <x:c r="R160" s="32" t="str">
        <x:f>IF(AND($B160&lt;&gt;"",$G160&lt;&gt;"Done",$G160&lt;&gt;"Canceled",OR($L160="Yes",$H160&lt;=TODAY()+1,$F160="P0 Critical",$F160="P1 High",$G160="Blocked",$G160="Waiting on Others")),COUNT($R$5:R159)+1,"")</x:f>
      </x:c>
      <x:c r="S160" s="32" t="str">
        <x:f>IF(AND($B160&lt;&gt;"",$G160&lt;&gt;"Done",$G160&lt;&gt;"Canceled",OR($M160="Yes",$G160="Blocked",$G160="Waiting on Others")),COUNT($S$5:S159)+1,"")</x:f>
      </x:c>
    </x:row>
    <x:row r="161">
      <x:c r="A161" s="27"/>
      <x:c r="B161" s="27"/>
      <x:c r="C161" s="27"/>
      <x:c r="D161" s="27"/>
      <x:c r="E161" s="27"/>
      <x:c r="F161" s="27"/>
      <x:c r="G161" s="27"/>
      <x:c r="H161" s="28"/>
      <x:c r="I161" s="29"/>
      <x:c r="J161" s="30"/>
      <x:c r="K161" s="27"/>
      <x:c r="L161" s="27"/>
      <x:c r="M161" s="27"/>
      <x:c r="N161" s="27"/>
      <x:c r="O161" s="28"/>
      <x:c r="P161" s="27"/>
      <x:c r="Q161" s="27"/>
      <x:c r="R161" s="32" t="str">
        <x:f>IF(AND($B161&lt;&gt;"",$G161&lt;&gt;"Done",$G161&lt;&gt;"Canceled",OR($L161="Yes",$H161&lt;=TODAY()+1,$F161="P0 Critical",$F161="P1 High",$G161="Blocked",$G161="Waiting on Others")),COUNT($R$5:R160)+1,"")</x:f>
      </x:c>
      <x:c r="S161" s="32" t="str">
        <x:f>IF(AND($B161&lt;&gt;"",$G161&lt;&gt;"Done",$G161&lt;&gt;"Canceled",OR($M161="Yes",$G161="Blocked",$G161="Waiting on Others")),COUNT($S$5:S160)+1,"")</x:f>
      </x:c>
    </x:row>
    <x:row r="162">
      <x:c r="A162" s="27"/>
      <x:c r="B162" s="27"/>
      <x:c r="C162" s="27"/>
      <x:c r="D162" s="27"/>
      <x:c r="E162" s="27"/>
      <x:c r="F162" s="27"/>
      <x:c r="G162" s="27"/>
      <x:c r="H162" s="28"/>
      <x:c r="I162" s="29"/>
      <x:c r="J162" s="30"/>
      <x:c r="K162" s="27"/>
      <x:c r="L162" s="27"/>
      <x:c r="M162" s="27"/>
      <x:c r="N162" s="27"/>
      <x:c r="O162" s="28"/>
      <x:c r="P162" s="27"/>
      <x:c r="Q162" s="27"/>
      <x:c r="R162" s="32" t="str">
        <x:f>IF(AND($B162&lt;&gt;"",$G162&lt;&gt;"Done",$G162&lt;&gt;"Canceled",OR($L162="Yes",$H162&lt;=TODAY()+1,$F162="P0 Critical",$F162="P1 High",$G162="Blocked",$G162="Waiting on Others")),COUNT($R$5:R161)+1,"")</x:f>
      </x:c>
      <x:c r="S162" s="32" t="str">
        <x:f>IF(AND($B162&lt;&gt;"",$G162&lt;&gt;"Done",$G162&lt;&gt;"Canceled",OR($M162="Yes",$G162="Blocked",$G162="Waiting on Others")),COUNT($S$5:S161)+1,"")</x:f>
      </x:c>
    </x:row>
    <x:row r="163">
      <x:c r="A163" s="27"/>
      <x:c r="B163" s="27"/>
      <x:c r="C163" s="27"/>
      <x:c r="D163" s="27"/>
      <x:c r="E163" s="27"/>
      <x:c r="F163" s="27"/>
      <x:c r="G163" s="27"/>
      <x:c r="H163" s="28"/>
      <x:c r="I163" s="29"/>
      <x:c r="J163" s="30"/>
      <x:c r="K163" s="27"/>
      <x:c r="L163" s="27"/>
      <x:c r="M163" s="27"/>
      <x:c r="N163" s="27"/>
      <x:c r="O163" s="28"/>
      <x:c r="P163" s="27"/>
      <x:c r="Q163" s="27"/>
      <x:c r="R163" s="32" t="str">
        <x:f>IF(AND($B163&lt;&gt;"",$G163&lt;&gt;"Done",$G163&lt;&gt;"Canceled",OR($L163="Yes",$H163&lt;=TODAY()+1,$F163="P0 Critical",$F163="P1 High",$G163="Blocked",$G163="Waiting on Others")),COUNT($R$5:R162)+1,"")</x:f>
      </x:c>
      <x:c r="S163" s="32" t="str">
        <x:f>IF(AND($B163&lt;&gt;"",$G163&lt;&gt;"Done",$G163&lt;&gt;"Canceled",OR($M163="Yes",$G163="Blocked",$G163="Waiting on Others")),COUNT($S$5:S162)+1,"")</x:f>
      </x:c>
    </x:row>
    <x:row r="164">
      <x:c r="A164" s="27"/>
      <x:c r="B164" s="27"/>
      <x:c r="C164" s="27"/>
      <x:c r="D164" s="27"/>
      <x:c r="E164" s="27"/>
      <x:c r="F164" s="27"/>
      <x:c r="G164" s="27"/>
      <x:c r="H164" s="28"/>
      <x:c r="I164" s="29"/>
      <x:c r="J164" s="30"/>
      <x:c r="K164" s="27"/>
      <x:c r="L164" s="27"/>
      <x:c r="M164" s="27"/>
      <x:c r="N164" s="27"/>
      <x:c r="O164" s="28"/>
      <x:c r="P164" s="27"/>
      <x:c r="Q164" s="27"/>
      <x:c r="R164" s="32" t="str">
        <x:f>IF(AND($B164&lt;&gt;"",$G164&lt;&gt;"Done",$G164&lt;&gt;"Canceled",OR($L164="Yes",$H164&lt;=TODAY()+1,$F164="P0 Critical",$F164="P1 High",$G164="Blocked",$G164="Waiting on Others")),COUNT($R$5:R163)+1,"")</x:f>
      </x:c>
      <x:c r="S164" s="32" t="str">
        <x:f>IF(AND($B164&lt;&gt;"",$G164&lt;&gt;"Done",$G164&lt;&gt;"Canceled",OR($M164="Yes",$G164="Blocked",$G164="Waiting on Others")),COUNT($S$5:S163)+1,"")</x:f>
      </x:c>
    </x:row>
    <x:row r="165">
      <x:c r="A165" s="27"/>
      <x:c r="B165" s="27"/>
      <x:c r="C165" s="27"/>
      <x:c r="D165" s="27"/>
      <x:c r="E165" s="27"/>
      <x:c r="F165" s="27"/>
      <x:c r="G165" s="27"/>
      <x:c r="H165" s="28"/>
      <x:c r="I165" s="29"/>
      <x:c r="J165" s="30"/>
      <x:c r="K165" s="27"/>
      <x:c r="L165" s="27"/>
      <x:c r="M165" s="27"/>
      <x:c r="N165" s="27"/>
      <x:c r="O165" s="28"/>
      <x:c r="P165" s="27"/>
      <x:c r="Q165" s="27"/>
      <x:c r="R165" s="32" t="str">
        <x:f>IF(AND($B165&lt;&gt;"",$G165&lt;&gt;"Done",$G165&lt;&gt;"Canceled",OR($L165="Yes",$H165&lt;=TODAY()+1,$F165="P0 Critical",$F165="P1 High",$G165="Blocked",$G165="Waiting on Others")),COUNT($R$5:R164)+1,"")</x:f>
      </x:c>
      <x:c r="S165" s="32" t="str">
        <x:f>IF(AND($B165&lt;&gt;"",$G165&lt;&gt;"Done",$G165&lt;&gt;"Canceled",OR($M165="Yes",$G165="Blocked",$G165="Waiting on Others")),COUNT($S$5:S164)+1,"")</x:f>
      </x:c>
    </x:row>
    <x:row r="166">
      <x:c r="A166" s="27"/>
      <x:c r="B166" s="27"/>
      <x:c r="C166" s="27"/>
      <x:c r="D166" s="27"/>
      <x:c r="E166" s="27"/>
      <x:c r="F166" s="27"/>
      <x:c r="G166" s="27"/>
      <x:c r="H166" s="28"/>
      <x:c r="I166" s="29"/>
      <x:c r="J166" s="30"/>
      <x:c r="K166" s="27"/>
      <x:c r="L166" s="27"/>
      <x:c r="M166" s="27"/>
      <x:c r="N166" s="27"/>
      <x:c r="O166" s="28"/>
      <x:c r="P166" s="27"/>
      <x:c r="Q166" s="27"/>
      <x:c r="R166" s="32" t="str">
        <x:f>IF(AND($B166&lt;&gt;"",$G166&lt;&gt;"Done",$G166&lt;&gt;"Canceled",OR($L166="Yes",$H166&lt;=TODAY()+1,$F166="P0 Critical",$F166="P1 High",$G166="Blocked",$G166="Waiting on Others")),COUNT($R$5:R165)+1,"")</x:f>
      </x:c>
      <x:c r="S166" s="32" t="str">
        <x:f>IF(AND($B166&lt;&gt;"",$G166&lt;&gt;"Done",$G166&lt;&gt;"Canceled",OR($M166="Yes",$G166="Blocked",$G166="Waiting on Others")),COUNT($S$5:S165)+1,"")</x:f>
      </x:c>
    </x:row>
    <x:row r="167">
      <x:c r="A167" s="27"/>
      <x:c r="B167" s="27"/>
      <x:c r="C167" s="27"/>
      <x:c r="D167" s="27"/>
      <x:c r="E167" s="27"/>
      <x:c r="F167" s="27"/>
      <x:c r="G167" s="27"/>
      <x:c r="H167" s="28"/>
      <x:c r="I167" s="29"/>
      <x:c r="J167" s="30"/>
      <x:c r="K167" s="27"/>
      <x:c r="L167" s="27"/>
      <x:c r="M167" s="27"/>
      <x:c r="N167" s="27"/>
      <x:c r="O167" s="28"/>
      <x:c r="P167" s="27"/>
      <x:c r="Q167" s="27"/>
      <x:c r="R167" s="32" t="str">
        <x:f>IF(AND($B167&lt;&gt;"",$G167&lt;&gt;"Done",$G167&lt;&gt;"Canceled",OR($L167="Yes",$H167&lt;=TODAY()+1,$F167="P0 Critical",$F167="P1 High",$G167="Blocked",$G167="Waiting on Others")),COUNT($R$5:R166)+1,"")</x:f>
      </x:c>
      <x:c r="S167" s="32" t="str">
        <x:f>IF(AND($B167&lt;&gt;"",$G167&lt;&gt;"Done",$G167&lt;&gt;"Canceled",OR($M167="Yes",$G167="Blocked",$G167="Waiting on Others")),COUNT($S$5:S166)+1,"")</x:f>
      </x:c>
    </x:row>
    <x:row r="168">
      <x:c r="A168" s="27"/>
      <x:c r="B168" s="27"/>
      <x:c r="C168" s="27"/>
      <x:c r="D168" s="27"/>
      <x:c r="E168" s="27"/>
      <x:c r="F168" s="27"/>
      <x:c r="G168" s="27"/>
      <x:c r="H168" s="28"/>
      <x:c r="I168" s="29"/>
      <x:c r="J168" s="30"/>
      <x:c r="K168" s="27"/>
      <x:c r="L168" s="27"/>
      <x:c r="M168" s="27"/>
      <x:c r="N168" s="27"/>
      <x:c r="O168" s="28"/>
      <x:c r="P168" s="27"/>
      <x:c r="Q168" s="27"/>
      <x:c r="R168" s="32" t="str">
        <x:f>IF(AND($B168&lt;&gt;"",$G168&lt;&gt;"Done",$G168&lt;&gt;"Canceled",OR($L168="Yes",$H168&lt;=TODAY()+1,$F168="P0 Critical",$F168="P1 High",$G168="Blocked",$G168="Waiting on Others")),COUNT($R$5:R167)+1,"")</x:f>
      </x:c>
      <x:c r="S168" s="32" t="str">
        <x:f>IF(AND($B168&lt;&gt;"",$G168&lt;&gt;"Done",$G168&lt;&gt;"Canceled",OR($M168="Yes",$G168="Blocked",$G168="Waiting on Others")),COUNT($S$5:S167)+1,"")</x:f>
      </x:c>
    </x:row>
    <x:row r="169">
      <x:c r="A169" s="27"/>
      <x:c r="B169" s="27"/>
      <x:c r="C169" s="27"/>
      <x:c r="D169" s="27"/>
      <x:c r="E169" s="27"/>
      <x:c r="F169" s="27"/>
      <x:c r="G169" s="27"/>
      <x:c r="H169" s="28"/>
      <x:c r="I169" s="29"/>
      <x:c r="J169" s="30"/>
      <x:c r="K169" s="27"/>
      <x:c r="L169" s="27"/>
      <x:c r="M169" s="27"/>
      <x:c r="N169" s="27"/>
      <x:c r="O169" s="28"/>
      <x:c r="P169" s="27"/>
      <x:c r="Q169" s="27"/>
      <x:c r="R169" s="32" t="str">
        <x:f>IF(AND($B169&lt;&gt;"",$G169&lt;&gt;"Done",$G169&lt;&gt;"Canceled",OR($L169="Yes",$H169&lt;=TODAY()+1,$F169="P0 Critical",$F169="P1 High",$G169="Blocked",$G169="Waiting on Others")),COUNT($R$5:R168)+1,"")</x:f>
      </x:c>
      <x:c r="S169" s="32" t="str">
        <x:f>IF(AND($B169&lt;&gt;"",$G169&lt;&gt;"Done",$G169&lt;&gt;"Canceled",OR($M169="Yes",$G169="Blocked",$G169="Waiting on Others")),COUNT($S$5:S168)+1,"")</x:f>
      </x:c>
    </x:row>
    <x:row r="170">
      <x:c r="A170" s="27"/>
      <x:c r="B170" s="27"/>
      <x:c r="C170" s="27"/>
      <x:c r="D170" s="27"/>
      <x:c r="E170" s="27"/>
      <x:c r="F170" s="27"/>
      <x:c r="G170" s="27"/>
      <x:c r="H170" s="28"/>
      <x:c r="I170" s="29"/>
      <x:c r="J170" s="30"/>
      <x:c r="K170" s="27"/>
      <x:c r="L170" s="27"/>
      <x:c r="M170" s="27"/>
      <x:c r="N170" s="27"/>
      <x:c r="O170" s="28"/>
      <x:c r="P170" s="27"/>
      <x:c r="Q170" s="27"/>
      <x:c r="R170" s="32" t="str">
        <x:f>IF(AND($B170&lt;&gt;"",$G170&lt;&gt;"Done",$G170&lt;&gt;"Canceled",OR($L170="Yes",$H170&lt;=TODAY()+1,$F170="P0 Critical",$F170="P1 High",$G170="Blocked",$G170="Waiting on Others")),COUNT($R$5:R169)+1,"")</x:f>
      </x:c>
      <x:c r="S170" s="32" t="str">
        <x:f>IF(AND($B170&lt;&gt;"",$G170&lt;&gt;"Done",$G170&lt;&gt;"Canceled",OR($M170="Yes",$G170="Blocked",$G170="Waiting on Others")),COUNT($S$5:S169)+1,"")</x:f>
      </x:c>
    </x:row>
    <x:row r="171">
      <x:c r="A171" s="27"/>
      <x:c r="B171" s="27"/>
      <x:c r="C171" s="27"/>
      <x:c r="D171" s="27"/>
      <x:c r="E171" s="27"/>
      <x:c r="F171" s="27"/>
      <x:c r="G171" s="27"/>
      <x:c r="H171" s="28"/>
      <x:c r="I171" s="29"/>
      <x:c r="J171" s="30"/>
      <x:c r="K171" s="27"/>
      <x:c r="L171" s="27"/>
      <x:c r="M171" s="27"/>
      <x:c r="N171" s="27"/>
      <x:c r="O171" s="28"/>
      <x:c r="P171" s="27"/>
      <x:c r="Q171" s="27"/>
      <x:c r="R171" s="32" t="str">
        <x:f>IF(AND($B171&lt;&gt;"",$G171&lt;&gt;"Done",$G171&lt;&gt;"Canceled",OR($L171="Yes",$H171&lt;=TODAY()+1,$F171="P0 Critical",$F171="P1 High",$G171="Blocked",$G171="Waiting on Others")),COUNT($R$5:R170)+1,"")</x:f>
      </x:c>
      <x:c r="S171" s="32" t="str">
        <x:f>IF(AND($B171&lt;&gt;"",$G171&lt;&gt;"Done",$G171&lt;&gt;"Canceled",OR($M171="Yes",$G171="Blocked",$G171="Waiting on Others")),COUNT($S$5:S170)+1,"")</x:f>
      </x:c>
    </x:row>
    <x:row r="172">
      <x:c r="A172" s="27"/>
      <x:c r="B172" s="27"/>
      <x:c r="C172" s="27"/>
      <x:c r="D172" s="27"/>
      <x:c r="E172" s="27"/>
      <x:c r="F172" s="27"/>
      <x:c r="G172" s="27"/>
      <x:c r="H172" s="28"/>
      <x:c r="I172" s="29"/>
      <x:c r="J172" s="30"/>
      <x:c r="K172" s="27"/>
      <x:c r="L172" s="27"/>
      <x:c r="M172" s="27"/>
      <x:c r="N172" s="27"/>
      <x:c r="O172" s="28"/>
      <x:c r="P172" s="27"/>
      <x:c r="Q172" s="27"/>
      <x:c r="R172" s="32" t="str">
        <x:f>IF(AND($B172&lt;&gt;"",$G172&lt;&gt;"Done",$G172&lt;&gt;"Canceled",OR($L172="Yes",$H172&lt;=TODAY()+1,$F172="P0 Critical",$F172="P1 High",$G172="Blocked",$G172="Waiting on Others")),COUNT($R$5:R171)+1,"")</x:f>
      </x:c>
      <x:c r="S172" s="32" t="str">
        <x:f>IF(AND($B172&lt;&gt;"",$G172&lt;&gt;"Done",$G172&lt;&gt;"Canceled",OR($M172="Yes",$G172="Blocked",$G172="Waiting on Others")),COUNT($S$5:S171)+1,"")</x:f>
      </x:c>
    </x:row>
    <x:row r="173">
      <x:c r="A173" s="27"/>
      <x:c r="B173" s="27"/>
      <x:c r="C173" s="27"/>
      <x:c r="D173" s="27"/>
      <x:c r="E173" s="27"/>
      <x:c r="F173" s="27"/>
      <x:c r="G173" s="27"/>
      <x:c r="H173" s="28"/>
      <x:c r="I173" s="29"/>
      <x:c r="J173" s="30"/>
      <x:c r="K173" s="27"/>
      <x:c r="L173" s="27"/>
      <x:c r="M173" s="27"/>
      <x:c r="N173" s="27"/>
      <x:c r="O173" s="28"/>
      <x:c r="P173" s="27"/>
      <x:c r="Q173" s="27"/>
      <x:c r="R173" s="32" t="str">
        <x:f>IF(AND($B173&lt;&gt;"",$G173&lt;&gt;"Done",$G173&lt;&gt;"Canceled",OR($L173="Yes",$H173&lt;=TODAY()+1,$F173="P0 Critical",$F173="P1 High",$G173="Blocked",$G173="Waiting on Others")),COUNT($R$5:R172)+1,"")</x:f>
      </x:c>
      <x:c r="S173" s="32" t="str">
        <x:f>IF(AND($B173&lt;&gt;"",$G173&lt;&gt;"Done",$G173&lt;&gt;"Canceled",OR($M173="Yes",$G173="Blocked",$G173="Waiting on Others")),COUNT($S$5:S172)+1,"")</x:f>
      </x:c>
    </x:row>
    <x:row r="174">
      <x:c r="A174" s="27"/>
      <x:c r="B174" s="27"/>
      <x:c r="C174" s="27"/>
      <x:c r="D174" s="27"/>
      <x:c r="E174" s="27"/>
      <x:c r="F174" s="27"/>
      <x:c r="G174" s="27"/>
      <x:c r="H174" s="28"/>
      <x:c r="I174" s="29"/>
      <x:c r="J174" s="30"/>
      <x:c r="K174" s="27"/>
      <x:c r="L174" s="27"/>
      <x:c r="M174" s="27"/>
      <x:c r="N174" s="27"/>
      <x:c r="O174" s="28"/>
      <x:c r="P174" s="27"/>
      <x:c r="Q174" s="27"/>
      <x:c r="R174" s="32" t="str">
        <x:f>IF(AND($B174&lt;&gt;"",$G174&lt;&gt;"Done",$G174&lt;&gt;"Canceled",OR($L174="Yes",$H174&lt;=TODAY()+1,$F174="P0 Critical",$F174="P1 High",$G174="Blocked",$G174="Waiting on Others")),COUNT($R$5:R173)+1,"")</x:f>
      </x:c>
      <x:c r="S174" s="32" t="str">
        <x:f>IF(AND($B174&lt;&gt;"",$G174&lt;&gt;"Done",$G174&lt;&gt;"Canceled",OR($M174="Yes",$G174="Blocked",$G174="Waiting on Others")),COUNT($S$5:S173)+1,"")</x:f>
      </x:c>
    </x:row>
    <x:row r="175">
      <x:c r="A175" s="27"/>
      <x:c r="B175" s="27"/>
      <x:c r="C175" s="27"/>
      <x:c r="D175" s="27"/>
      <x:c r="E175" s="27"/>
      <x:c r="F175" s="27"/>
      <x:c r="G175" s="27"/>
      <x:c r="H175" s="28"/>
      <x:c r="I175" s="29"/>
      <x:c r="J175" s="30"/>
      <x:c r="K175" s="27"/>
      <x:c r="L175" s="27"/>
      <x:c r="M175" s="27"/>
      <x:c r="N175" s="27"/>
      <x:c r="O175" s="28"/>
      <x:c r="P175" s="27"/>
      <x:c r="Q175" s="27"/>
      <x:c r="R175" s="32" t="str">
        <x:f>IF(AND($B175&lt;&gt;"",$G175&lt;&gt;"Done",$G175&lt;&gt;"Canceled",OR($L175="Yes",$H175&lt;=TODAY()+1,$F175="P0 Critical",$F175="P1 High",$G175="Blocked",$G175="Waiting on Others")),COUNT($R$5:R174)+1,"")</x:f>
      </x:c>
      <x:c r="S175" s="32" t="str">
        <x:f>IF(AND($B175&lt;&gt;"",$G175&lt;&gt;"Done",$G175&lt;&gt;"Canceled",OR($M175="Yes",$G175="Blocked",$G175="Waiting on Others")),COUNT($S$5:S174)+1,"")</x:f>
      </x:c>
    </x:row>
    <x:row r="176">
      <x:c r="A176" s="27"/>
      <x:c r="B176" s="27"/>
      <x:c r="C176" s="27"/>
      <x:c r="D176" s="27"/>
      <x:c r="E176" s="27"/>
      <x:c r="F176" s="27"/>
      <x:c r="G176" s="27"/>
      <x:c r="H176" s="28"/>
      <x:c r="I176" s="29"/>
      <x:c r="J176" s="30"/>
      <x:c r="K176" s="27"/>
      <x:c r="L176" s="27"/>
      <x:c r="M176" s="27"/>
      <x:c r="N176" s="27"/>
      <x:c r="O176" s="28"/>
      <x:c r="P176" s="27"/>
      <x:c r="Q176" s="27"/>
      <x:c r="R176" s="32" t="str">
        <x:f>IF(AND($B176&lt;&gt;"",$G176&lt;&gt;"Done",$G176&lt;&gt;"Canceled",OR($L176="Yes",$H176&lt;=TODAY()+1,$F176="P0 Critical",$F176="P1 High",$G176="Blocked",$G176="Waiting on Others")),COUNT($R$5:R175)+1,"")</x:f>
      </x:c>
      <x:c r="S176" s="32" t="str">
        <x:f>IF(AND($B176&lt;&gt;"",$G176&lt;&gt;"Done",$G176&lt;&gt;"Canceled",OR($M176="Yes",$G176="Blocked",$G176="Waiting on Others")),COUNT($S$5:S175)+1,"")</x:f>
      </x:c>
    </x:row>
    <x:row r="177">
      <x:c r="A177" s="27"/>
      <x:c r="B177" s="27"/>
      <x:c r="C177" s="27"/>
      <x:c r="D177" s="27"/>
      <x:c r="E177" s="27"/>
      <x:c r="F177" s="27"/>
      <x:c r="G177" s="27"/>
      <x:c r="H177" s="28"/>
      <x:c r="I177" s="29"/>
      <x:c r="J177" s="30"/>
      <x:c r="K177" s="27"/>
      <x:c r="L177" s="27"/>
      <x:c r="M177" s="27"/>
      <x:c r="N177" s="27"/>
      <x:c r="O177" s="28"/>
      <x:c r="P177" s="27"/>
      <x:c r="Q177" s="27"/>
      <x:c r="R177" s="32" t="str">
        <x:f>IF(AND($B177&lt;&gt;"",$G177&lt;&gt;"Done",$G177&lt;&gt;"Canceled",OR($L177="Yes",$H177&lt;=TODAY()+1,$F177="P0 Critical",$F177="P1 High",$G177="Blocked",$G177="Waiting on Others")),COUNT($R$5:R176)+1,"")</x:f>
      </x:c>
      <x:c r="S177" s="32" t="str">
        <x:f>IF(AND($B177&lt;&gt;"",$G177&lt;&gt;"Done",$G177&lt;&gt;"Canceled",OR($M177="Yes",$G177="Blocked",$G177="Waiting on Others")),COUNT($S$5:S176)+1,"")</x:f>
      </x:c>
    </x:row>
    <x:row r="178">
      <x:c r="A178" s="27"/>
      <x:c r="B178" s="27"/>
      <x:c r="C178" s="27"/>
      <x:c r="D178" s="27"/>
      <x:c r="E178" s="27"/>
      <x:c r="F178" s="27"/>
      <x:c r="G178" s="27"/>
      <x:c r="H178" s="28"/>
      <x:c r="I178" s="29"/>
      <x:c r="J178" s="30"/>
      <x:c r="K178" s="27"/>
      <x:c r="L178" s="27"/>
      <x:c r="M178" s="27"/>
      <x:c r="N178" s="27"/>
      <x:c r="O178" s="28"/>
      <x:c r="P178" s="27"/>
      <x:c r="Q178" s="27"/>
      <x:c r="R178" s="32" t="str">
        <x:f>IF(AND($B178&lt;&gt;"",$G178&lt;&gt;"Done",$G178&lt;&gt;"Canceled",OR($L178="Yes",$H178&lt;=TODAY()+1,$F178="P0 Critical",$F178="P1 High",$G178="Blocked",$G178="Waiting on Others")),COUNT($R$5:R177)+1,"")</x:f>
      </x:c>
      <x:c r="S178" s="32" t="str">
        <x:f>IF(AND($B178&lt;&gt;"",$G178&lt;&gt;"Done",$G178&lt;&gt;"Canceled",OR($M178="Yes",$G178="Blocked",$G178="Waiting on Others")),COUNT($S$5:S177)+1,"")</x:f>
      </x:c>
    </x:row>
    <x:row r="179">
      <x:c r="A179" s="27"/>
      <x:c r="B179" s="27"/>
      <x:c r="C179" s="27"/>
      <x:c r="D179" s="27"/>
      <x:c r="E179" s="27"/>
      <x:c r="F179" s="27"/>
      <x:c r="G179" s="27"/>
      <x:c r="H179" s="28"/>
      <x:c r="I179" s="29"/>
      <x:c r="J179" s="30"/>
      <x:c r="K179" s="27"/>
      <x:c r="L179" s="27"/>
      <x:c r="M179" s="27"/>
      <x:c r="N179" s="27"/>
      <x:c r="O179" s="28"/>
      <x:c r="P179" s="27"/>
      <x:c r="Q179" s="27"/>
      <x:c r="R179" s="32" t="str">
        <x:f>IF(AND($B179&lt;&gt;"",$G179&lt;&gt;"Done",$G179&lt;&gt;"Canceled",OR($L179="Yes",$H179&lt;=TODAY()+1,$F179="P0 Critical",$F179="P1 High",$G179="Blocked",$G179="Waiting on Others")),COUNT($R$5:R178)+1,"")</x:f>
      </x:c>
      <x:c r="S179" s="32" t="str">
        <x:f>IF(AND($B179&lt;&gt;"",$G179&lt;&gt;"Done",$G179&lt;&gt;"Canceled",OR($M179="Yes",$G179="Blocked",$G179="Waiting on Others")),COUNT($S$5:S178)+1,"")</x:f>
      </x:c>
    </x:row>
    <x:row r="180">
      <x:c r="A180" s="27"/>
      <x:c r="B180" s="27"/>
      <x:c r="C180" s="27"/>
      <x:c r="D180" s="27"/>
      <x:c r="E180" s="27"/>
      <x:c r="F180" s="27"/>
      <x:c r="G180" s="27"/>
      <x:c r="H180" s="28"/>
      <x:c r="I180" s="29"/>
      <x:c r="J180" s="30"/>
      <x:c r="K180" s="27"/>
      <x:c r="L180" s="27"/>
      <x:c r="M180" s="27"/>
      <x:c r="N180" s="27"/>
      <x:c r="O180" s="28"/>
      <x:c r="P180" s="27"/>
      <x:c r="Q180" s="27"/>
      <x:c r="R180" s="32" t="str">
        <x:f>IF(AND($B180&lt;&gt;"",$G180&lt;&gt;"Done",$G180&lt;&gt;"Canceled",OR($L180="Yes",$H180&lt;=TODAY()+1,$F180="P0 Critical",$F180="P1 High",$G180="Blocked",$G180="Waiting on Others")),COUNT($R$5:R179)+1,"")</x:f>
      </x:c>
      <x:c r="S180" s="32" t="str">
        <x:f>IF(AND($B180&lt;&gt;"",$G180&lt;&gt;"Done",$G180&lt;&gt;"Canceled",OR($M180="Yes",$G180="Blocked",$G180="Waiting on Others")),COUNT($S$5:S179)+1,"")</x:f>
      </x:c>
    </x:row>
    <x:row r="181">
      <x:c r="A181" s="27"/>
      <x:c r="B181" s="27"/>
      <x:c r="C181" s="27"/>
      <x:c r="D181" s="27"/>
      <x:c r="E181" s="27"/>
      <x:c r="F181" s="27"/>
      <x:c r="G181" s="27"/>
      <x:c r="H181" s="28"/>
      <x:c r="I181" s="29"/>
      <x:c r="J181" s="30"/>
      <x:c r="K181" s="27"/>
      <x:c r="L181" s="27"/>
      <x:c r="M181" s="27"/>
      <x:c r="N181" s="27"/>
      <x:c r="O181" s="28"/>
      <x:c r="P181" s="27"/>
      <x:c r="Q181" s="27"/>
      <x:c r="R181" s="32" t="str">
        <x:f>IF(AND($B181&lt;&gt;"",$G181&lt;&gt;"Done",$G181&lt;&gt;"Canceled",OR($L181="Yes",$H181&lt;=TODAY()+1,$F181="P0 Critical",$F181="P1 High",$G181="Blocked",$G181="Waiting on Others")),COUNT($R$5:R180)+1,"")</x:f>
      </x:c>
      <x:c r="S181" s="32" t="str">
        <x:f>IF(AND($B181&lt;&gt;"",$G181&lt;&gt;"Done",$G181&lt;&gt;"Canceled",OR($M181="Yes",$G181="Blocked",$G181="Waiting on Others")),COUNT($S$5:S180)+1,"")</x:f>
      </x:c>
    </x:row>
    <x:row r="182">
      <x:c r="A182" s="27"/>
      <x:c r="B182" s="27"/>
      <x:c r="C182" s="27"/>
      <x:c r="D182" s="27"/>
      <x:c r="E182" s="27"/>
      <x:c r="F182" s="27"/>
      <x:c r="G182" s="27"/>
      <x:c r="H182" s="28"/>
      <x:c r="I182" s="29"/>
      <x:c r="J182" s="30"/>
      <x:c r="K182" s="27"/>
      <x:c r="L182" s="27"/>
      <x:c r="M182" s="27"/>
      <x:c r="N182" s="27"/>
      <x:c r="O182" s="28"/>
      <x:c r="P182" s="27"/>
      <x:c r="Q182" s="27"/>
      <x:c r="R182" s="32" t="str">
        <x:f>IF(AND($B182&lt;&gt;"",$G182&lt;&gt;"Done",$G182&lt;&gt;"Canceled",OR($L182="Yes",$H182&lt;=TODAY()+1,$F182="P0 Critical",$F182="P1 High",$G182="Blocked",$G182="Waiting on Others")),COUNT($R$5:R181)+1,"")</x:f>
      </x:c>
      <x:c r="S182" s="32" t="str">
        <x:f>IF(AND($B182&lt;&gt;"",$G182&lt;&gt;"Done",$G182&lt;&gt;"Canceled",OR($M182="Yes",$G182="Blocked",$G182="Waiting on Others")),COUNT($S$5:S181)+1,"")</x:f>
      </x:c>
    </x:row>
    <x:row r="183">
      <x:c r="A183" s="27"/>
      <x:c r="B183" s="27"/>
      <x:c r="C183" s="27"/>
      <x:c r="D183" s="27"/>
      <x:c r="E183" s="27"/>
      <x:c r="F183" s="27"/>
      <x:c r="G183" s="27"/>
      <x:c r="H183" s="28"/>
      <x:c r="I183" s="29"/>
      <x:c r="J183" s="30"/>
      <x:c r="K183" s="27"/>
      <x:c r="L183" s="27"/>
      <x:c r="M183" s="27"/>
      <x:c r="N183" s="27"/>
      <x:c r="O183" s="28"/>
      <x:c r="P183" s="27"/>
      <x:c r="Q183" s="27"/>
      <x:c r="R183" s="32" t="str">
        <x:f>IF(AND($B183&lt;&gt;"",$G183&lt;&gt;"Done",$G183&lt;&gt;"Canceled",OR($L183="Yes",$H183&lt;=TODAY()+1,$F183="P0 Critical",$F183="P1 High",$G183="Blocked",$G183="Waiting on Others")),COUNT($R$5:R182)+1,"")</x:f>
      </x:c>
      <x:c r="S183" s="32" t="str">
        <x:f>IF(AND($B183&lt;&gt;"",$G183&lt;&gt;"Done",$G183&lt;&gt;"Canceled",OR($M183="Yes",$G183="Blocked",$G183="Waiting on Others")),COUNT($S$5:S182)+1,"")</x:f>
      </x:c>
    </x:row>
    <x:row r="184">
      <x:c r="A184" s="27"/>
      <x:c r="B184" s="27"/>
      <x:c r="C184" s="27"/>
      <x:c r="D184" s="27"/>
      <x:c r="E184" s="27"/>
      <x:c r="F184" s="27"/>
      <x:c r="G184" s="27"/>
      <x:c r="H184" s="28"/>
      <x:c r="I184" s="29"/>
      <x:c r="J184" s="30"/>
      <x:c r="K184" s="27"/>
      <x:c r="L184" s="27"/>
      <x:c r="M184" s="27"/>
      <x:c r="N184" s="27"/>
      <x:c r="O184" s="28"/>
      <x:c r="P184" s="27"/>
      <x:c r="Q184" s="27"/>
      <x:c r="R184" s="32" t="str">
        <x:f>IF(AND($B184&lt;&gt;"",$G184&lt;&gt;"Done",$G184&lt;&gt;"Canceled",OR($L184="Yes",$H184&lt;=TODAY()+1,$F184="P0 Critical",$F184="P1 High",$G184="Blocked",$G184="Waiting on Others")),COUNT($R$5:R183)+1,"")</x:f>
      </x:c>
      <x:c r="S184" s="32" t="str">
        <x:f>IF(AND($B184&lt;&gt;"",$G184&lt;&gt;"Done",$G184&lt;&gt;"Canceled",OR($M184="Yes",$G184="Blocked",$G184="Waiting on Others")),COUNT($S$5:S183)+1,"")</x:f>
      </x:c>
    </x:row>
    <x:row r="185">
      <x:c r="A185" s="27"/>
      <x:c r="B185" s="27"/>
      <x:c r="C185" s="27"/>
      <x:c r="D185" s="27"/>
      <x:c r="E185" s="27"/>
      <x:c r="F185" s="27"/>
      <x:c r="G185" s="27"/>
      <x:c r="H185" s="28"/>
      <x:c r="I185" s="29"/>
      <x:c r="J185" s="30"/>
      <x:c r="K185" s="27"/>
      <x:c r="L185" s="27"/>
      <x:c r="M185" s="27"/>
      <x:c r="N185" s="27"/>
      <x:c r="O185" s="28"/>
      <x:c r="P185" s="27"/>
      <x:c r="Q185" s="27"/>
      <x:c r="R185" s="32" t="str">
        <x:f>IF(AND($B185&lt;&gt;"",$G185&lt;&gt;"Done",$G185&lt;&gt;"Canceled",OR($L185="Yes",$H185&lt;=TODAY()+1,$F185="P0 Critical",$F185="P1 High",$G185="Blocked",$G185="Waiting on Others")),COUNT($R$5:R184)+1,"")</x:f>
      </x:c>
      <x:c r="S185" s="32" t="str">
        <x:f>IF(AND($B185&lt;&gt;"",$G185&lt;&gt;"Done",$G185&lt;&gt;"Canceled",OR($M185="Yes",$G185="Blocked",$G185="Waiting on Others")),COUNT($S$5:S184)+1,"")</x:f>
      </x:c>
    </x:row>
    <x:row r="186">
      <x:c r="A186" s="27"/>
      <x:c r="B186" s="27"/>
      <x:c r="C186" s="27"/>
      <x:c r="D186" s="27"/>
      <x:c r="E186" s="27"/>
      <x:c r="F186" s="27"/>
      <x:c r="G186" s="27"/>
      <x:c r="H186" s="28"/>
      <x:c r="I186" s="29"/>
      <x:c r="J186" s="30"/>
      <x:c r="K186" s="27"/>
      <x:c r="L186" s="27"/>
      <x:c r="M186" s="27"/>
      <x:c r="N186" s="27"/>
      <x:c r="O186" s="28"/>
      <x:c r="P186" s="27"/>
      <x:c r="Q186" s="27"/>
      <x:c r="R186" s="32" t="str">
        <x:f>IF(AND($B186&lt;&gt;"",$G186&lt;&gt;"Done",$G186&lt;&gt;"Canceled",OR($L186="Yes",$H186&lt;=TODAY()+1,$F186="P0 Critical",$F186="P1 High",$G186="Blocked",$G186="Waiting on Others")),COUNT($R$5:R185)+1,"")</x:f>
      </x:c>
      <x:c r="S186" s="32" t="str">
        <x:f>IF(AND($B186&lt;&gt;"",$G186&lt;&gt;"Done",$G186&lt;&gt;"Canceled",OR($M186="Yes",$G186="Blocked",$G186="Waiting on Others")),COUNT($S$5:S185)+1,"")</x:f>
      </x:c>
    </x:row>
    <x:row r="187">
      <x:c r="A187" s="27"/>
      <x:c r="B187" s="27"/>
      <x:c r="C187" s="27"/>
      <x:c r="D187" s="27"/>
      <x:c r="E187" s="27"/>
      <x:c r="F187" s="27"/>
      <x:c r="G187" s="27"/>
      <x:c r="H187" s="28"/>
      <x:c r="I187" s="29"/>
      <x:c r="J187" s="30"/>
      <x:c r="K187" s="27"/>
      <x:c r="L187" s="27"/>
      <x:c r="M187" s="27"/>
      <x:c r="N187" s="27"/>
      <x:c r="O187" s="28"/>
      <x:c r="P187" s="27"/>
      <x:c r="Q187" s="27"/>
      <x:c r="R187" s="32" t="str">
        <x:f>IF(AND($B187&lt;&gt;"",$G187&lt;&gt;"Done",$G187&lt;&gt;"Canceled",OR($L187="Yes",$H187&lt;=TODAY()+1,$F187="P0 Critical",$F187="P1 High",$G187="Blocked",$G187="Waiting on Others")),COUNT($R$5:R186)+1,"")</x:f>
      </x:c>
      <x:c r="S187" s="32" t="str">
        <x:f>IF(AND($B187&lt;&gt;"",$G187&lt;&gt;"Done",$G187&lt;&gt;"Canceled",OR($M187="Yes",$G187="Blocked",$G187="Waiting on Others")),COUNT($S$5:S186)+1,"")</x:f>
      </x:c>
    </x:row>
    <x:row r="188">
      <x:c r="A188" s="27"/>
      <x:c r="B188" s="27"/>
      <x:c r="C188" s="27"/>
      <x:c r="D188" s="27"/>
      <x:c r="E188" s="27"/>
      <x:c r="F188" s="27"/>
      <x:c r="G188" s="27"/>
      <x:c r="H188" s="28"/>
      <x:c r="I188" s="29"/>
      <x:c r="J188" s="30"/>
      <x:c r="K188" s="27"/>
      <x:c r="L188" s="27"/>
      <x:c r="M188" s="27"/>
      <x:c r="N188" s="27"/>
      <x:c r="O188" s="28"/>
      <x:c r="P188" s="27"/>
      <x:c r="Q188" s="27"/>
      <x:c r="R188" s="32" t="str">
        <x:f>IF(AND($B188&lt;&gt;"",$G188&lt;&gt;"Done",$G188&lt;&gt;"Canceled",OR($L188="Yes",$H188&lt;=TODAY()+1,$F188="P0 Critical",$F188="P1 High",$G188="Blocked",$G188="Waiting on Others")),COUNT($R$5:R187)+1,"")</x:f>
      </x:c>
      <x:c r="S188" s="32" t="str">
        <x:f>IF(AND($B188&lt;&gt;"",$G188&lt;&gt;"Done",$G188&lt;&gt;"Canceled",OR($M188="Yes",$G188="Blocked",$G188="Waiting on Others")),COUNT($S$5:S187)+1,"")</x:f>
      </x:c>
    </x:row>
    <x:row r="189">
      <x:c r="A189" s="27"/>
      <x:c r="B189" s="27"/>
      <x:c r="C189" s="27"/>
      <x:c r="D189" s="27"/>
      <x:c r="E189" s="27"/>
      <x:c r="F189" s="27"/>
      <x:c r="G189" s="27"/>
      <x:c r="H189" s="28"/>
      <x:c r="I189" s="29"/>
      <x:c r="J189" s="30"/>
      <x:c r="K189" s="27"/>
      <x:c r="L189" s="27"/>
      <x:c r="M189" s="27"/>
      <x:c r="N189" s="27"/>
      <x:c r="O189" s="28"/>
      <x:c r="P189" s="27"/>
      <x:c r="Q189" s="27"/>
      <x:c r="R189" s="32" t="str">
        <x:f>IF(AND($B189&lt;&gt;"",$G189&lt;&gt;"Done",$G189&lt;&gt;"Canceled",OR($L189="Yes",$H189&lt;=TODAY()+1,$F189="P0 Critical",$F189="P1 High",$G189="Blocked",$G189="Waiting on Others")),COUNT($R$5:R188)+1,"")</x:f>
      </x:c>
      <x:c r="S189" s="32" t="str">
        <x:f>IF(AND($B189&lt;&gt;"",$G189&lt;&gt;"Done",$G189&lt;&gt;"Canceled",OR($M189="Yes",$G189="Blocked",$G189="Waiting on Others")),COUNT($S$5:S188)+1,"")</x:f>
      </x:c>
    </x:row>
    <x:row r="190">
      <x:c r="A190" s="27"/>
      <x:c r="B190" s="27"/>
      <x:c r="C190" s="27"/>
      <x:c r="D190" s="27"/>
      <x:c r="E190" s="27"/>
      <x:c r="F190" s="27"/>
      <x:c r="G190" s="27"/>
      <x:c r="H190" s="28"/>
      <x:c r="I190" s="29"/>
      <x:c r="J190" s="30"/>
      <x:c r="K190" s="27"/>
      <x:c r="L190" s="27"/>
      <x:c r="M190" s="27"/>
      <x:c r="N190" s="27"/>
      <x:c r="O190" s="28"/>
      <x:c r="P190" s="27"/>
      <x:c r="Q190" s="27"/>
      <x:c r="R190" s="32" t="str">
        <x:f>IF(AND($B190&lt;&gt;"",$G190&lt;&gt;"Done",$G190&lt;&gt;"Canceled",OR($L190="Yes",$H190&lt;=TODAY()+1,$F190="P0 Critical",$F190="P1 High",$G190="Blocked",$G190="Waiting on Others")),COUNT($R$5:R189)+1,"")</x:f>
      </x:c>
      <x:c r="S190" s="32" t="str">
        <x:f>IF(AND($B190&lt;&gt;"",$G190&lt;&gt;"Done",$G190&lt;&gt;"Canceled",OR($M190="Yes",$G190="Blocked",$G190="Waiting on Others")),COUNT($S$5:S189)+1,"")</x:f>
      </x:c>
    </x:row>
    <x:row r="191">
      <x:c r="A191" s="27"/>
      <x:c r="B191" s="27"/>
      <x:c r="C191" s="27"/>
      <x:c r="D191" s="27"/>
      <x:c r="E191" s="27"/>
      <x:c r="F191" s="27"/>
      <x:c r="G191" s="27"/>
      <x:c r="H191" s="28"/>
      <x:c r="I191" s="29"/>
      <x:c r="J191" s="30"/>
      <x:c r="K191" s="27"/>
      <x:c r="L191" s="27"/>
      <x:c r="M191" s="27"/>
      <x:c r="N191" s="27"/>
      <x:c r="O191" s="28"/>
      <x:c r="P191" s="27"/>
      <x:c r="Q191" s="27"/>
      <x:c r="R191" s="32" t="str">
        <x:f>IF(AND($B191&lt;&gt;"",$G191&lt;&gt;"Done",$G191&lt;&gt;"Canceled",OR($L191="Yes",$H191&lt;=TODAY()+1,$F191="P0 Critical",$F191="P1 High",$G191="Blocked",$G191="Waiting on Others")),COUNT($R$5:R190)+1,"")</x:f>
      </x:c>
      <x:c r="S191" s="32" t="str">
        <x:f>IF(AND($B191&lt;&gt;"",$G191&lt;&gt;"Done",$G191&lt;&gt;"Canceled",OR($M191="Yes",$G191="Blocked",$G191="Waiting on Others")),COUNT($S$5:S190)+1,"")</x:f>
      </x:c>
    </x:row>
    <x:row r="192">
      <x:c r="A192" s="27"/>
      <x:c r="B192" s="27"/>
      <x:c r="C192" s="27"/>
      <x:c r="D192" s="27"/>
      <x:c r="E192" s="27"/>
      <x:c r="F192" s="27"/>
      <x:c r="G192" s="27"/>
      <x:c r="H192" s="28"/>
      <x:c r="I192" s="29"/>
      <x:c r="J192" s="30"/>
      <x:c r="K192" s="27"/>
      <x:c r="L192" s="27"/>
      <x:c r="M192" s="27"/>
      <x:c r="N192" s="27"/>
      <x:c r="O192" s="28"/>
      <x:c r="P192" s="27"/>
      <x:c r="Q192" s="27"/>
      <x:c r="R192" s="32" t="str">
        <x:f>IF(AND($B192&lt;&gt;"",$G192&lt;&gt;"Done",$G192&lt;&gt;"Canceled",OR($L192="Yes",$H192&lt;=TODAY()+1,$F192="P0 Critical",$F192="P1 High",$G192="Blocked",$G192="Waiting on Others")),COUNT($R$5:R191)+1,"")</x:f>
      </x:c>
      <x:c r="S192" s="32" t="str">
        <x:f>IF(AND($B192&lt;&gt;"",$G192&lt;&gt;"Done",$G192&lt;&gt;"Canceled",OR($M192="Yes",$G192="Blocked",$G192="Waiting on Others")),COUNT($S$5:S191)+1,"")</x:f>
      </x:c>
    </x:row>
    <x:row r="193">
      <x:c r="A193" s="27"/>
      <x:c r="B193" s="27"/>
      <x:c r="C193" s="27"/>
      <x:c r="D193" s="27"/>
      <x:c r="E193" s="27"/>
      <x:c r="F193" s="27"/>
      <x:c r="G193" s="27"/>
      <x:c r="H193" s="28"/>
      <x:c r="I193" s="29"/>
      <x:c r="J193" s="30"/>
      <x:c r="K193" s="27"/>
      <x:c r="L193" s="27"/>
      <x:c r="M193" s="27"/>
      <x:c r="N193" s="27"/>
      <x:c r="O193" s="28"/>
      <x:c r="P193" s="27"/>
      <x:c r="Q193" s="27"/>
      <x:c r="R193" s="32" t="str">
        <x:f>IF(AND($B193&lt;&gt;"",$G193&lt;&gt;"Done",$G193&lt;&gt;"Canceled",OR($L193="Yes",$H193&lt;=TODAY()+1,$F193="P0 Critical",$F193="P1 High",$G193="Blocked",$G193="Waiting on Others")),COUNT($R$5:R192)+1,"")</x:f>
      </x:c>
      <x:c r="S193" s="32" t="str">
        <x:f>IF(AND($B193&lt;&gt;"",$G193&lt;&gt;"Done",$G193&lt;&gt;"Canceled",OR($M193="Yes",$G193="Blocked",$G193="Waiting on Others")),COUNT($S$5:S192)+1,"")</x:f>
      </x:c>
    </x:row>
    <x:row r="194">
      <x:c r="A194" s="27"/>
      <x:c r="B194" s="27"/>
      <x:c r="C194" s="27"/>
      <x:c r="D194" s="27"/>
      <x:c r="E194" s="27"/>
      <x:c r="F194" s="27"/>
      <x:c r="G194" s="27"/>
      <x:c r="H194" s="28"/>
      <x:c r="I194" s="29"/>
      <x:c r="J194" s="30"/>
      <x:c r="K194" s="27"/>
      <x:c r="L194" s="27"/>
      <x:c r="M194" s="27"/>
      <x:c r="N194" s="27"/>
      <x:c r="O194" s="28"/>
      <x:c r="P194" s="27"/>
      <x:c r="Q194" s="27"/>
      <x:c r="R194" s="32" t="str">
        <x:f>IF(AND($B194&lt;&gt;"",$G194&lt;&gt;"Done",$G194&lt;&gt;"Canceled",OR($L194="Yes",$H194&lt;=TODAY()+1,$F194="P0 Critical",$F194="P1 High",$G194="Blocked",$G194="Waiting on Others")),COUNT($R$5:R193)+1,"")</x:f>
      </x:c>
      <x:c r="S194" s="32" t="str">
        <x:f>IF(AND($B194&lt;&gt;"",$G194&lt;&gt;"Done",$G194&lt;&gt;"Canceled",OR($M194="Yes",$G194="Blocked",$G194="Waiting on Others")),COUNT($S$5:S193)+1,"")</x:f>
      </x:c>
    </x:row>
    <x:row r="195">
      <x:c r="A195" s="27"/>
      <x:c r="B195" s="27"/>
      <x:c r="C195" s="27"/>
      <x:c r="D195" s="27"/>
      <x:c r="E195" s="27"/>
      <x:c r="F195" s="27"/>
      <x:c r="G195" s="27"/>
      <x:c r="H195" s="28"/>
      <x:c r="I195" s="29"/>
      <x:c r="J195" s="30"/>
      <x:c r="K195" s="27"/>
      <x:c r="L195" s="27"/>
      <x:c r="M195" s="27"/>
      <x:c r="N195" s="27"/>
      <x:c r="O195" s="28"/>
      <x:c r="P195" s="27"/>
      <x:c r="Q195" s="27"/>
      <x:c r="R195" s="32" t="str">
        <x:f>IF(AND($B195&lt;&gt;"",$G195&lt;&gt;"Done",$G195&lt;&gt;"Canceled",OR($L195="Yes",$H195&lt;=TODAY()+1,$F195="P0 Critical",$F195="P1 High",$G195="Blocked",$G195="Waiting on Others")),COUNT($R$5:R194)+1,"")</x:f>
      </x:c>
      <x:c r="S195" s="32" t="str">
        <x:f>IF(AND($B195&lt;&gt;"",$G195&lt;&gt;"Done",$G195&lt;&gt;"Canceled",OR($M195="Yes",$G195="Blocked",$G195="Waiting on Others")),COUNT($S$5:S194)+1,"")</x:f>
      </x:c>
    </x:row>
    <x:row r="196">
      <x:c r="A196" s="27"/>
      <x:c r="B196" s="27"/>
      <x:c r="C196" s="27"/>
      <x:c r="D196" s="27"/>
      <x:c r="E196" s="27"/>
      <x:c r="F196" s="27"/>
      <x:c r="G196" s="27"/>
      <x:c r="H196" s="28"/>
      <x:c r="I196" s="29"/>
      <x:c r="J196" s="30"/>
      <x:c r="K196" s="27"/>
      <x:c r="L196" s="27"/>
      <x:c r="M196" s="27"/>
      <x:c r="N196" s="27"/>
      <x:c r="O196" s="28"/>
      <x:c r="P196" s="27"/>
      <x:c r="Q196" s="27"/>
      <x:c r="R196" s="32" t="str">
        <x:f>IF(AND($B196&lt;&gt;"",$G196&lt;&gt;"Done",$G196&lt;&gt;"Canceled",OR($L196="Yes",$H196&lt;=TODAY()+1,$F196="P0 Critical",$F196="P1 High",$G196="Blocked",$G196="Waiting on Others")),COUNT($R$5:R195)+1,"")</x:f>
      </x:c>
      <x:c r="S196" s="32" t="str">
        <x:f>IF(AND($B196&lt;&gt;"",$G196&lt;&gt;"Done",$G196&lt;&gt;"Canceled",OR($M196="Yes",$G196="Blocked",$G196="Waiting on Others")),COUNT($S$5:S195)+1,"")</x:f>
      </x:c>
    </x:row>
    <x:row r="197">
      <x:c r="A197" s="27"/>
      <x:c r="B197" s="27"/>
      <x:c r="C197" s="27"/>
      <x:c r="D197" s="27"/>
      <x:c r="E197" s="27"/>
      <x:c r="F197" s="27"/>
      <x:c r="G197" s="27"/>
      <x:c r="H197" s="28"/>
      <x:c r="I197" s="29"/>
      <x:c r="J197" s="30"/>
      <x:c r="K197" s="27"/>
      <x:c r="L197" s="27"/>
      <x:c r="M197" s="27"/>
      <x:c r="N197" s="27"/>
      <x:c r="O197" s="28"/>
      <x:c r="P197" s="27"/>
      <x:c r="Q197" s="27"/>
      <x:c r="R197" s="32" t="str">
        <x:f>IF(AND($B197&lt;&gt;"",$G197&lt;&gt;"Done",$G197&lt;&gt;"Canceled",OR($L197="Yes",$H197&lt;=TODAY()+1,$F197="P0 Critical",$F197="P1 High",$G197="Blocked",$G197="Waiting on Others")),COUNT($R$5:R196)+1,"")</x:f>
      </x:c>
      <x:c r="S197" s="32" t="str">
        <x:f>IF(AND($B197&lt;&gt;"",$G197&lt;&gt;"Done",$G197&lt;&gt;"Canceled",OR($M197="Yes",$G197="Blocked",$G197="Waiting on Others")),COUNT($S$5:S196)+1,"")</x:f>
      </x:c>
    </x:row>
    <x:row r="198">
      <x:c r="A198" s="27"/>
      <x:c r="B198" s="27"/>
      <x:c r="C198" s="27"/>
      <x:c r="D198" s="27"/>
      <x:c r="E198" s="27"/>
      <x:c r="F198" s="27"/>
      <x:c r="G198" s="27"/>
      <x:c r="H198" s="28"/>
      <x:c r="I198" s="29"/>
      <x:c r="J198" s="30"/>
      <x:c r="K198" s="27"/>
      <x:c r="L198" s="27"/>
      <x:c r="M198" s="27"/>
      <x:c r="N198" s="27"/>
      <x:c r="O198" s="28"/>
      <x:c r="P198" s="27"/>
      <x:c r="Q198" s="27"/>
      <x:c r="R198" s="32" t="str">
        <x:f>IF(AND($B198&lt;&gt;"",$G198&lt;&gt;"Done",$G198&lt;&gt;"Canceled",OR($L198="Yes",$H198&lt;=TODAY()+1,$F198="P0 Critical",$F198="P1 High",$G198="Blocked",$G198="Waiting on Others")),COUNT($R$5:R197)+1,"")</x:f>
      </x:c>
      <x:c r="S198" s="32" t="str">
        <x:f>IF(AND($B198&lt;&gt;"",$G198&lt;&gt;"Done",$G198&lt;&gt;"Canceled",OR($M198="Yes",$G198="Blocked",$G198="Waiting on Others")),COUNT($S$5:S197)+1,"")</x:f>
      </x:c>
    </x:row>
    <x:row r="199">
      <x:c r="A199" s="27"/>
      <x:c r="B199" s="27"/>
      <x:c r="C199" s="27"/>
      <x:c r="D199" s="27"/>
      <x:c r="E199" s="27"/>
      <x:c r="F199" s="27"/>
      <x:c r="G199" s="27"/>
      <x:c r="H199" s="28"/>
      <x:c r="I199" s="29"/>
      <x:c r="J199" s="30"/>
      <x:c r="K199" s="27"/>
      <x:c r="L199" s="27"/>
      <x:c r="M199" s="27"/>
      <x:c r="N199" s="27"/>
      <x:c r="O199" s="28"/>
      <x:c r="P199" s="27"/>
      <x:c r="Q199" s="27"/>
      <x:c r="R199" s="32" t="str">
        <x:f>IF(AND($B199&lt;&gt;"",$G199&lt;&gt;"Done",$G199&lt;&gt;"Canceled",OR($L199="Yes",$H199&lt;=TODAY()+1,$F199="P0 Critical",$F199="P1 High",$G199="Blocked",$G199="Waiting on Others")),COUNT($R$5:R198)+1,"")</x:f>
      </x:c>
      <x:c r="S199" s="32" t="str">
        <x:f>IF(AND($B199&lt;&gt;"",$G199&lt;&gt;"Done",$G199&lt;&gt;"Canceled",OR($M199="Yes",$G199="Blocked",$G199="Waiting on Others")),COUNT($S$5:S198)+1,"")</x:f>
      </x:c>
    </x:row>
    <x:row r="200">
      <x:c r="A200" s="27"/>
      <x:c r="B200" s="27"/>
      <x:c r="C200" s="27"/>
      <x:c r="D200" s="27"/>
      <x:c r="E200" s="27"/>
      <x:c r="F200" s="27"/>
      <x:c r="G200" s="27"/>
      <x:c r="H200" s="28"/>
      <x:c r="I200" s="29"/>
      <x:c r="J200" s="30"/>
      <x:c r="K200" s="27"/>
      <x:c r="L200" s="27"/>
      <x:c r="M200" s="27"/>
      <x:c r="N200" s="27"/>
      <x:c r="O200" s="28"/>
      <x:c r="P200" s="27"/>
      <x:c r="Q200" s="27"/>
      <x:c r="R200" s="32" t="str">
        <x:f>IF(AND($B200&lt;&gt;"",$G200&lt;&gt;"Done",$G200&lt;&gt;"Canceled",OR($L200="Yes",$H200&lt;=TODAY()+1,$F200="P0 Critical",$F200="P1 High",$G200="Blocked",$G200="Waiting on Others")),COUNT($R$5:R199)+1,"")</x:f>
      </x:c>
      <x:c r="S200" s="32" t="str">
        <x:f>IF(AND($B200&lt;&gt;"",$G200&lt;&gt;"Done",$G200&lt;&gt;"Canceled",OR($M200="Yes",$G200="Blocked",$G200="Waiting on Others")),COUNT($S$5:S199)+1,"")</x:f>
      </x:c>
    </x:row>
    <x:row r="201">
      <x:c r="A201" s="27"/>
      <x:c r="B201" s="27"/>
      <x:c r="C201" s="27"/>
      <x:c r="D201" s="27"/>
      <x:c r="E201" s="27"/>
      <x:c r="F201" s="27"/>
      <x:c r="G201" s="27"/>
      <x:c r="H201" s="28"/>
      <x:c r="I201" s="29"/>
      <x:c r="J201" s="30"/>
      <x:c r="K201" s="27"/>
      <x:c r="L201" s="27"/>
      <x:c r="M201" s="27"/>
      <x:c r="N201" s="27"/>
      <x:c r="O201" s="28"/>
      <x:c r="P201" s="27"/>
      <x:c r="Q201" s="27"/>
      <x:c r="R201" s="32" t="str">
        <x:f>IF(AND($B201&lt;&gt;"",$G201&lt;&gt;"Done",$G201&lt;&gt;"Canceled",OR($L201="Yes",$H201&lt;=TODAY()+1,$F201="P0 Critical",$F201="P1 High",$G201="Blocked",$G201="Waiting on Others")),COUNT($R$5:R200)+1,"")</x:f>
      </x:c>
      <x:c r="S201" s="32" t="str">
        <x:f>IF(AND($B201&lt;&gt;"",$G201&lt;&gt;"Done",$G201&lt;&gt;"Canceled",OR($M201="Yes",$G201="Blocked",$G201="Waiting on Others")),COUNT($S$5:S200)+1,"")</x:f>
      </x:c>
    </x:row>
    <x:row r="202">
      <x:c r="A202" s="27"/>
      <x:c r="B202" s="27"/>
      <x:c r="C202" s="27"/>
      <x:c r="D202" s="27"/>
      <x:c r="E202" s="27"/>
      <x:c r="F202" s="27"/>
      <x:c r="G202" s="27"/>
      <x:c r="H202" s="28"/>
      <x:c r="I202" s="29"/>
      <x:c r="J202" s="30"/>
      <x:c r="K202" s="27"/>
      <x:c r="L202" s="27"/>
      <x:c r="M202" s="27"/>
      <x:c r="N202" s="27"/>
      <x:c r="O202" s="28"/>
      <x:c r="P202" s="27"/>
      <x:c r="Q202" s="27"/>
      <x:c r="R202" s="32" t="str">
        <x:f>IF(AND($B202&lt;&gt;"",$G202&lt;&gt;"Done",$G202&lt;&gt;"Canceled",OR($L202="Yes",$H202&lt;=TODAY()+1,$F202="P0 Critical",$F202="P1 High",$G202="Blocked",$G202="Waiting on Others")),COUNT($R$5:R201)+1,"")</x:f>
      </x:c>
      <x:c r="S202" s="32" t="str">
        <x:f>IF(AND($B202&lt;&gt;"",$G202&lt;&gt;"Done",$G202&lt;&gt;"Canceled",OR($M202="Yes",$G202="Blocked",$G202="Waiting on Others")),COUNT($S$5:S201)+1,"")</x:f>
      </x:c>
    </x:row>
    <x:row r="203">
      <x:c r="A203" s="27"/>
      <x:c r="B203" s="27"/>
      <x:c r="C203" s="27"/>
      <x:c r="D203" s="27"/>
      <x:c r="E203" s="27"/>
      <x:c r="F203" s="27"/>
      <x:c r="G203" s="27"/>
      <x:c r="H203" s="28"/>
      <x:c r="I203" s="29"/>
      <x:c r="J203" s="30"/>
      <x:c r="K203" s="27"/>
      <x:c r="L203" s="27"/>
      <x:c r="M203" s="27"/>
      <x:c r="N203" s="27"/>
      <x:c r="O203" s="28"/>
      <x:c r="P203" s="27"/>
      <x:c r="Q203" s="27"/>
      <x:c r="R203" s="32" t="str">
        <x:f>IF(AND($B203&lt;&gt;"",$G203&lt;&gt;"Done",$G203&lt;&gt;"Canceled",OR($L203="Yes",$H203&lt;=TODAY()+1,$F203="P0 Critical",$F203="P1 High",$G203="Blocked",$G203="Waiting on Others")),COUNT($R$5:R202)+1,"")</x:f>
      </x:c>
      <x:c r="S203" s="32" t="str">
        <x:f>IF(AND($B203&lt;&gt;"",$G203&lt;&gt;"Done",$G203&lt;&gt;"Canceled",OR($M203="Yes",$G203="Blocked",$G203="Waiting on Others")),COUNT($S$5:S202)+1,"")</x:f>
      </x:c>
    </x:row>
    <x:row r="204">
      <x:c r="A204" s="27"/>
      <x:c r="B204" s="27"/>
      <x:c r="C204" s="27"/>
      <x:c r="D204" s="27"/>
      <x:c r="E204" s="27"/>
      <x:c r="F204" s="27"/>
      <x:c r="G204" s="27"/>
      <x:c r="H204" s="28"/>
      <x:c r="I204" s="29"/>
      <x:c r="J204" s="30"/>
      <x:c r="K204" s="27"/>
      <x:c r="L204" s="27"/>
      <x:c r="M204" s="27"/>
      <x:c r="N204" s="27"/>
      <x:c r="O204" s="28"/>
      <x:c r="P204" s="27"/>
      <x:c r="Q204" s="27"/>
      <x:c r="R204" s="32" t="str">
        <x:f>IF(AND($B204&lt;&gt;"",$G204&lt;&gt;"Done",$G204&lt;&gt;"Canceled",OR($L204="Yes",$H204&lt;=TODAY()+1,$F204="P0 Critical",$F204="P1 High",$G204="Blocked",$G204="Waiting on Others")),COUNT($R$5:R203)+1,"")</x:f>
      </x:c>
      <x:c r="S204" s="32" t="str">
        <x:f>IF(AND($B204&lt;&gt;"",$G204&lt;&gt;"Done",$G204&lt;&gt;"Canceled",OR($M204="Yes",$G204="Blocked",$G204="Waiting on Others")),COUNT($S$5:S203)+1,"")</x:f>
      </x:c>
    </x:row>
    <x:row r="205">
      <x:c r="A205" s="27"/>
      <x:c r="B205" s="27"/>
      <x:c r="C205" s="27"/>
      <x:c r="D205" s="27"/>
      <x:c r="E205" s="27"/>
      <x:c r="F205" s="27"/>
      <x:c r="G205" s="27"/>
      <x:c r="H205" s="28"/>
      <x:c r="I205" s="29"/>
      <x:c r="J205" s="30"/>
      <x:c r="K205" s="27"/>
      <x:c r="L205" s="27"/>
      <x:c r="M205" s="27"/>
      <x:c r="N205" s="27"/>
      <x:c r="O205" s="28"/>
      <x:c r="P205" s="27"/>
      <x:c r="Q205" s="27"/>
      <x:c r="R205" s="32" t="str">
        <x:f>IF(AND($B205&lt;&gt;"",$G205&lt;&gt;"Done",$G205&lt;&gt;"Canceled",OR($L205="Yes",$H205&lt;=TODAY()+1,$F205="P0 Critical",$F205="P1 High",$G205="Blocked",$G205="Waiting on Others")),COUNT($R$5:R204)+1,"")</x:f>
      </x:c>
      <x:c r="S205" s="32" t="str">
        <x:f>IF(AND($B205&lt;&gt;"",$G205&lt;&gt;"Done",$G205&lt;&gt;"Canceled",OR($M205="Yes",$G205="Blocked",$G205="Waiting on Others")),COUNT($S$5:S204)+1,"")</x:f>
      </x:c>
    </x:row>
  </x:sheetData>
  <x:conditionalFormatting sqref="H6:H205">
    <x:cfRule type="expression" dxfId="0" priority="1">
      <x:formula>AND($H6&lt;TODAY(),$G6&lt;&gt;"Done",$G6&lt;&gt;"Canceled",$B6&lt;&gt;"")</x:formula>
    </x:cfRule>
  </x:conditionalFormatting>
  <x:dataValidations count="7">
    <x:dataValidation type="list" sqref="C6:C205">
      <x:formula1>Settings!$C$5:$C$12</x:formula1>
    </x:dataValidation>
    <x:dataValidation type="list" sqref="D6:D205">
      <x:formula1>Settings!$F$5:$F$24</x:formula1>
    </x:dataValidation>
    <x:dataValidation type="list" sqref="E6:E205">
      <x:formula1>Settings!$I$5:$I$24</x:formula1>
    </x:dataValidation>
    <x:dataValidation type="list" sqref="F6:F205">
      <x:formula1>Settings!$B$5:$B$8</x:formula1>
    </x:dataValidation>
    <x:dataValidation type="list" sqref="G6:G205">
      <x:formula1>Settings!$A$5:$A$11</x:formula1>
    </x:dataValidation>
    <x:dataValidation type="list" sqref="L6:M205">
      <x:formula1>"Yes,No"</x:formula1>
    </x:dataValidation>
    <x:dataValidation type="list" sqref="Q6:Q205">
      <x:formula1>Settings!$D$5:$D$9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944113223f44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33.33000183105469" hidden="0" customWidth="1"/>
    <x:col min="3" max="3" width="18.889999389648438" hidden="0" customWidth="1"/>
    <x:col min="4" max="4" width="13.329999923706055" hidden="0" customWidth="1"/>
    <x:col min="5" max="5" width="13.329999923706055" hidden="0" customWidth="1"/>
    <x:col min="6" max="6" width="16.670000076293945" hidden="0" customWidth="1"/>
    <x:col min="7" max="7" width="12.779999732971191" hidden="0" customWidth="1"/>
    <x:col min="8" max="8" width="10" hidden="0" customWidth="1"/>
    <x:col min="9" max="9" width="31.110000610351562" hidden="0" customWidth="1"/>
    <x:col min="10" max="10" width="24.440000534057617" hidden="0" customWidth="1"/>
    <x:col min="11" max="11" width="13.329999923706055" hidden="0" customWidth="1"/>
  </x:cols>
  <x:sheetData>
    <x:row r="1" ht="31.5" customHeight="1">
      <x:c r="A1" s="2" t="str">
        <x:v>Daily Plan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>
      <x:c r="A2" s="22" t="str">
        <x:v>Read-only formula view. Add or update tasks only in Task Inbox; this page pulls today's focus items automatically.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>
      <x:c r="A4" s="26" t="str">
        <x:v>ID</x:v>
      </x:c>
      <x:c r="B4" s="26" t="str">
        <x:v>Task</x:v>
      </x:c>
      <x:c r="C4" s="26" t="str">
        <x:v>Project</x:v>
      </x:c>
      <x:c r="D4" s="26" t="str">
        <x:v>Owner</x:v>
      </x:c>
      <x:c r="E4" s="26" t="str">
        <x:v>Priority</x:v>
      </x:c>
      <x:c r="F4" s="26" t="str">
        <x:v>Status</x:v>
      </x:c>
      <x:c r="G4" s="26" t="str">
        <x:v>Due Date</x:v>
      </x:c>
      <x:c r="H4" s="26" t="str">
        <x:v>Progress</x:v>
      </x:c>
      <x:c r="I4" s="26" t="str">
        <x:v>Next Step</x:v>
      </x:c>
      <x:c r="J4" s="26" t="str">
        <x:v>Blocker</x:v>
      </x:c>
      <x:c r="K4" s="26" t="str">
        <x:v>Reason Shown</x:v>
      </x:c>
    </x:row>
    <x:row r="5">
      <x:c r="A5" s="27" t="str">
        <x:f>IFERROR(INDEX('Task Inbox'!A$6:A$205,MATCH(ROWS($A$5:A5),'Task Inbox'!$R$6:$R$205,0)),"")</x:f>
        <x:v>T-001</x:v>
      </x:c>
      <x:c r="B5" s="27" t="str">
        <x:f>IFERROR(INDEX('Task Inbox'!B$6:B$205,MATCH(ROWS($A$5:A5),'Task Inbox'!$R$6:$R$205,0)),"")</x:f>
        <x:v>Confirm this week's team Top 3 priorities</x:v>
      </x:c>
      <x:c r="C5" s="27" t="str">
        <x:f>IFERROR(INDEX('Task Inbox'!D$6:D$205,MATCH(ROWS($A$5:A5),'Task Inbox'!$R$6:$R$205,0)),"")</x:f>
        <x:v>Team Management</x:v>
      </x:c>
      <x:c r="D5" s="27" t="str">
        <x:f>IFERROR(INDEX('Task Inbox'!E$6:E$205,MATCH(ROWS($A$5:A5),'Task Inbox'!$R$6:$R$205,0)),"")</x:f>
        <x:v>Me</x:v>
      </x:c>
      <x:c r="E5" s="27" t="str">
        <x:f>IFERROR(INDEX('Task Inbox'!F$6:F$205,MATCH(ROWS($A$5:A5),'Task Inbox'!$R$6:$R$205,0)),"")</x:f>
        <x:v>P0 Critical</x:v>
      </x:c>
      <x:c r="F5" s="27" t="str">
        <x:f>IFERROR(INDEX('Task Inbox'!G$6:G$205,MATCH(ROWS($A$5:A5),'Task Inbox'!$R$6:$R$205,0)),"")</x:f>
        <x:v>In Progress</x:v>
      </x:c>
      <x:c r="G5" s="28" t="n">
        <x:f>IFERROR(INDEX('Task Inbox'!H$6:H$205,MATCH(ROWS($A$5:A5),'Task Inbox'!$R$6:$R$205,0)),"")</x:f>
        <x:v>46174</x:v>
      </x:c>
      <x:c r="H5" s="30" t="n">
        <x:f>IFERROR(INDEX('Task Inbox'!J$6:J$205,MATCH(ROWS($A$5:A5),'Task Inbox'!$R$6:$R$205,0)),"")</x:f>
        <x:v>0.5</x:v>
      </x:c>
      <x:c r="I5" s="27" t="str">
        <x:f>IFERROR(INDEX('Task Inbox'!K$6:K$205,MATCH(ROWS($A$5:A5),'Task Inbox'!$R$6:$R$205,0)),"")</x:f>
        <x:v>Confirm owner in 15-min standup</x:v>
      </x:c>
      <x:c r="J5" s="27" t="str">
        <x:f>IFERROR(INDEX('Task Inbox'!N$6:N$205,MATCH(ROWS($A$5:A5),'Task Inbox'!$R$6:$R$205,0)),"")</x:f>
      </x:c>
      <x:c r="K5" s="27" t="str">
        <x:f>IF($A5="","",IF($F5="Blocked","Blocked",IF($F5="Waiting on Others","Waiting",IF($G5&lt;TODAY(),"Overdue",IF($G5&lt;=TODAY()+1,"Due Soon","Priority")))))</x:f>
        <x:v>Due Soon</x:v>
      </x:c>
    </x:row>
    <x:row r="6">
      <x:c r="A6" s="27" t="str">
        <x:f>IFERROR(INDEX('Task Inbox'!A$6:A$205,MATCH(ROWS($A$5:A6),'Task Inbox'!$R$6:$R$205,0)),"")</x:f>
        <x:v>T-002</x:v>
      </x:c>
      <x:c r="B6" s="27" t="str">
        <x:f>IFERROR(INDEX('Task Inbox'!B$6:B$205,MATCH(ROWS($A$5:A6),'Task Inbox'!$R$6:$R$205,0)),"")</x:f>
        <x:v>Follow up on customer delivery risk list</x:v>
      </x:c>
      <x:c r="C6" s="27" t="str">
        <x:f>IFERROR(INDEX('Task Inbox'!D$6:D$205,MATCH(ROWS($A$5:A6),'Task Inbox'!$R$6:$R$205,0)),"")</x:f>
        <x:v>Customer Delivery</x:v>
      </x:c>
      <x:c r="D6" s="27" t="str">
        <x:f>IFERROR(INDEX('Task Inbox'!E$6:E$205,MATCH(ROWS($A$5:A6),'Task Inbox'!$R$6:$R$205,0)),"")</x:f>
        <x:v>Alice</x:v>
      </x:c>
      <x:c r="E6" s="27" t="str">
        <x:f>IFERROR(INDEX('Task Inbox'!F$6:F$205,MATCH(ROWS($A$5:A6),'Task Inbox'!$R$6:$R$205,0)),"")</x:f>
        <x:v>P1 High</x:v>
      </x:c>
      <x:c r="F6" s="27" t="str">
        <x:f>IFERROR(INDEX('Task Inbox'!G$6:G$205,MATCH(ROWS($A$5:A6),'Task Inbox'!$R$6:$R$205,0)),"")</x:f>
        <x:v>Waiting on Others</x:v>
      </x:c>
      <x:c r="G6" s="28" t="n">
        <x:f>IFERROR(INDEX('Task Inbox'!H$6:H$205,MATCH(ROWS($A$5:A6),'Task Inbox'!$R$6:$R$205,0)),"")</x:f>
        <x:v>46175</x:v>
      </x:c>
      <x:c r="H6" s="30" t="n">
        <x:f>IFERROR(INDEX('Task Inbox'!J$6:J$205,MATCH(ROWS($A$5:A6),'Task Inbox'!$R$6:$R$205,0)),"")</x:f>
        <x:v>0.35</x:v>
      </x:c>
      <x:c r="I6" s="27" t="str">
        <x:f>IFERROR(INDEX('Task Inbox'!K$6:K$205,MATCH(ROWS($A$5:A6),'Task Inbox'!$R$6:$R$205,0)),"")</x:f>
        <x:v>Waiting for risk rating from Alice</x:v>
      </x:c>
      <x:c r="J6" s="27" t="str">
        <x:f>IFERROR(INDEX('Task Inbox'!N$6:N$205,MATCH(ROWS($A$5:A6),'Task Inbox'!$R$6:$R$205,0)),"")</x:f>
      </x:c>
      <x:c r="K6" s="27" t="str">
        <x:f>IF($A6="","",IF($F6="Blocked","Blocked",IF($F6="Waiting on Others","Waiting",IF($G6&lt;TODAY(),"Overdue",IF($G6&lt;=TODAY()+1,"Due Soon","Priority")))))</x:f>
        <x:v>Waiting</x:v>
      </x:c>
    </x:row>
    <x:row r="7">
      <x:c r="A7" s="27" t="str">
        <x:f>IFERROR(INDEX('Task Inbox'!A$6:A$205,MATCH(ROWS($A$5:A7),'Task Inbox'!$R$6:$R$205,0)),"")</x:f>
        <x:v>T-003</x:v>
      </x:c>
      <x:c r="B7" s="27" t="str">
        <x:f>IFERROR(INDEX('Task Inbox'!B$6:B$205,MATCH(ROWS($A$5:A7),'Task Inbox'!$R$6:$R$205,0)),"")</x:f>
        <x:v>Approve Q3 budget draft</x:v>
      </x:c>
      <x:c r="C7" s="27" t="str">
        <x:f>IFERROR(INDEX('Task Inbox'!D$6:D$205,MATCH(ROWS($A$5:A7),'Task Inbox'!$R$6:$R$205,0)),"")</x:f>
        <x:v>Budget Planning</x:v>
      </x:c>
      <x:c r="D7" s="27" t="str">
        <x:f>IFERROR(INDEX('Task Inbox'!E$6:E$205,MATCH(ROWS($A$5:A7),'Task Inbox'!$R$6:$R$205,0)),"")</x:f>
        <x:v>Me</x:v>
      </x:c>
      <x:c r="E7" s="27" t="str">
        <x:f>IFERROR(INDEX('Task Inbox'!F$6:F$205,MATCH(ROWS($A$5:A7),'Task Inbox'!$R$6:$R$205,0)),"")</x:f>
        <x:v>P1 High</x:v>
      </x:c>
      <x:c r="F7" s="27" t="str">
        <x:f>IFERROR(INDEX('Task Inbox'!G$6:G$205,MATCH(ROWS($A$5:A7),'Task Inbox'!$R$6:$R$205,0)),"")</x:f>
        <x:v>Not Started</x:v>
      </x:c>
      <x:c r="G7" s="28" t="n">
        <x:f>IFERROR(INDEX('Task Inbox'!H$6:H$205,MATCH(ROWS($A$5:A7),'Task Inbox'!$R$6:$R$205,0)),"")</x:f>
        <x:v>46178</x:v>
      </x:c>
      <x:c r="H7" s="30" t="n">
        <x:f>IFERROR(INDEX('Task Inbox'!J$6:J$205,MATCH(ROWS($A$5:A7),'Task Inbox'!$R$6:$R$205,0)),"")</x:f>
        <x:v>0</x:v>
      </x:c>
      <x:c r="I7" s="27" t="str">
        <x:f>IFERROR(INDEX('Task Inbox'!K$6:K$205,MATCH(ROWS($A$5:A7),'Task Inbox'!$R$6:$R$205,0)),"")</x:f>
        <x:v>Review Finance version</x:v>
      </x:c>
      <x:c r="J7" s="27" t="str">
        <x:f>IFERROR(INDEX('Task Inbox'!N$6:N$205,MATCH(ROWS($A$5:A7),'Task Inbox'!$R$6:$R$205,0)),"")</x:f>
      </x:c>
      <x:c r="K7" s="27" t="str">
        <x:f>IF($A7="","",IF($F7="Blocked","Blocked",IF($F7="Waiting on Others","Waiting",IF($G7&lt;TODAY(),"Overdue",IF($G7&lt;=TODAY()+1,"Due Soon","Priority")))))</x:f>
        <x:v>Priority</x:v>
      </x:c>
    </x:row>
    <x:row r="8">
      <x:c r="A8" s="27" t="str">
        <x:f>IFERROR(INDEX('Task Inbox'!A$6:A$205,MATCH(ROWS($A$5:A8),'Task Inbox'!$R$6:$R$205,0)),"")</x:f>
        <x:v>T-004</x:v>
      </x:c>
      <x:c r="B8" s="27" t="str">
        <x:f>IFERROR(INDEX('Task Inbox'!B$6:B$205,MATCH(ROWS($A$5:A8),'Task Inbox'!$R$6:$R$205,0)),"")</x:f>
        <x:v>Compile hiring interview feedback</x:v>
      </x:c>
      <x:c r="C8" s="27" t="str">
        <x:f>IFERROR(INDEX('Task Inbox'!D$6:D$205,MATCH(ROWS($A$5:A8),'Task Inbox'!$R$6:$R$205,0)),"")</x:f>
        <x:v>Hiring</x:v>
      </x:c>
      <x:c r="D8" s="27" t="str">
        <x:f>IFERROR(INDEX('Task Inbox'!E$6:E$205,MATCH(ROWS($A$5:A8),'Task Inbox'!$R$6:$R$205,0)),"")</x:f>
        <x:v>HR</x:v>
      </x:c>
      <x:c r="E8" s="27" t="str">
        <x:f>IFERROR(INDEX('Task Inbox'!F$6:F$205,MATCH(ROWS($A$5:A8),'Task Inbox'!$R$6:$R$205,0)),"")</x:f>
        <x:v>P2 Medium</x:v>
      </x:c>
      <x:c r="F8" s="27" t="str">
        <x:f>IFERROR(INDEX('Task Inbox'!G$6:G$205,MATCH(ROWS($A$5:A8),'Task Inbox'!$R$6:$R$205,0)),"")</x:f>
        <x:v>Blocked</x:v>
      </x:c>
      <x:c r="G8" s="28" t="n">
        <x:f>IFERROR(INDEX('Task Inbox'!H$6:H$205,MATCH(ROWS($A$5:A8),'Task Inbox'!$R$6:$R$205,0)),"")</x:f>
        <x:v>46172</x:v>
      </x:c>
      <x:c r="H8" s="30" t="n">
        <x:f>IFERROR(INDEX('Task Inbox'!J$6:J$205,MATCH(ROWS($A$5:A8),'Task Inbox'!$R$6:$R$205,0)),"")</x:f>
        <x:v>0.2</x:v>
      </x:c>
      <x:c r="I8" s="27" t="str">
        <x:f>IFERROR(INDEX('Task Inbox'!K$6:K$205,MATCH(ROWS($A$5:A8),'Task Inbox'!$R$6:$R$205,0)),"")</x:f>
        <x:v>Ask HR for missing scorecard</x:v>
      </x:c>
      <x:c r="J8" s="27" t="str">
        <x:f>IFERROR(INDEX('Task Inbox'!N$6:N$205,MATCH(ROWS($A$5:A8),'Task Inbox'!$R$6:$R$205,0)),"")</x:f>
        <x:v>Missing interviewer scorecard</x:v>
      </x:c>
      <x:c r="K8" s="27" t="str">
        <x:f>IF($A8="","",IF($F8="Blocked","Blocked",IF($F8="Waiting on Others","Waiting",IF($G8&lt;TODAY(),"Overdue",IF($G8&lt;=TODAY()+1,"Due Soon","Priority")))))</x:f>
        <x:v>Blocked</x:v>
      </x:c>
    </x:row>
    <x:row r="9">
      <x:c r="A9" s="27" t="str">
        <x:f>IFERROR(INDEX('Task Inbox'!A$6:A$205,MATCH(ROWS($A$5:A9),'Task Inbox'!$R$6:$R$205,0)),"")</x:f>
        <x:v>T-006</x:v>
      </x:c>
      <x:c r="B9" s="27" t="str">
        <x:f>IFERROR(INDEX('Task Inbox'!B$6:B$205,MATCH(ROWS($A$5:A9),'Task Inbox'!$R$6:$R$205,0)),"")</x:f>
        <x:v>Map cross-functional SLA workflow</x:v>
      </x:c>
      <x:c r="C9" s="27" t="str">
        <x:f>IFERROR(INDEX('Task Inbox'!D$6:D$205,MATCH(ROWS($A$5:A9),'Task Inbox'!$R$6:$R$205,0)),"")</x:f>
        <x:v>Process Optimization</x:v>
      </x:c>
      <x:c r="D9" s="27" t="str">
        <x:f>IFERROR(INDEX('Task Inbox'!E$6:E$205,MATCH(ROWS($A$5:A9),'Task Inbox'!$R$6:$R$205,0)),"")</x:f>
        <x:v>Product</x:v>
      </x:c>
      <x:c r="E9" s="27" t="str">
        <x:f>IFERROR(INDEX('Task Inbox'!F$6:F$205,MATCH(ROWS($A$5:A9),'Task Inbox'!$R$6:$R$205,0)),"")</x:f>
        <x:v>P1 High</x:v>
      </x:c>
      <x:c r="F9" s="27" t="str">
        <x:f>IFERROR(INDEX('Task Inbox'!G$6:G$205,MATCH(ROWS($A$5:A9),'Task Inbox'!$R$6:$R$205,0)),"")</x:f>
        <x:v>In Progress</x:v>
      </x:c>
      <x:c r="G9" s="28" t="n">
        <x:f>IFERROR(INDEX('Task Inbox'!H$6:H$205,MATCH(ROWS($A$5:A9),'Task Inbox'!$R$6:$R$205,0)),"")</x:f>
        <x:v>46180</x:v>
      </x:c>
      <x:c r="H9" s="30" t="n">
        <x:f>IFERROR(INDEX('Task Inbox'!J$6:J$205,MATCH(ROWS($A$5:A9),'Task Inbox'!$R$6:$R$205,0)),"")</x:f>
        <x:v>0.65</x:v>
      </x:c>
      <x:c r="I9" s="27" t="str">
        <x:f>IFERROR(INDEX('Task Inbox'!K$6:K$205,MATCH(ROWS($A$5:A9),'Task Inbox'!$R$6:$R$205,0)),"")</x:f>
        <x:v>Add Legal review node</x:v>
      </x:c>
      <x:c r="J9" s="27" t="str">
        <x:f>IFERROR(INDEX('Task Inbox'!N$6:N$205,MATCH(ROWS($A$5:A9),'Task Inbox'!$R$6:$R$205,0)),"")</x:f>
      </x:c>
      <x:c r="K9" s="27" t="str">
        <x:f>IF($A9="","",IF($F9="Blocked","Blocked",IF($F9="Waiting on Others","Waiting",IF($G9&lt;TODAY(),"Overdue",IF($G9&lt;=TODAY()+1,"Due Soon","Priority")))))</x:f>
        <x:v>Priority</x:v>
      </x:c>
    </x:row>
    <x:row r="10">
      <x:c r="A10" s="27" t="str">
        <x:f>IFERROR(INDEX('Task Inbox'!A$6:A$205,MATCH(ROWS($A$5:A10),'Task Inbox'!$R$6:$R$205,0)),"")</x:f>
      </x:c>
      <x:c r="B10" s="27" t="str">
        <x:f>IFERROR(INDEX('Task Inbox'!B$6:B$205,MATCH(ROWS($A$5:A10),'Task Inbox'!$R$6:$R$205,0)),"")</x:f>
      </x:c>
      <x:c r="C10" s="27" t="str">
        <x:f>IFERROR(INDEX('Task Inbox'!D$6:D$205,MATCH(ROWS($A$5:A10),'Task Inbox'!$R$6:$R$205,0)),"")</x:f>
      </x:c>
      <x:c r="D10" s="27" t="str">
        <x:f>IFERROR(INDEX('Task Inbox'!E$6:E$205,MATCH(ROWS($A$5:A10),'Task Inbox'!$R$6:$R$205,0)),"")</x:f>
      </x:c>
      <x:c r="E10" s="27" t="str">
        <x:f>IFERROR(INDEX('Task Inbox'!F$6:F$205,MATCH(ROWS($A$5:A10),'Task Inbox'!$R$6:$R$205,0)),"")</x:f>
      </x:c>
      <x:c r="F10" s="27" t="str">
        <x:f>IFERROR(INDEX('Task Inbox'!G$6:G$205,MATCH(ROWS($A$5:A10),'Task Inbox'!$R$6:$R$205,0)),"")</x:f>
      </x:c>
      <x:c r="G10" s="28" t="str">
        <x:f>IFERROR(INDEX('Task Inbox'!H$6:H$205,MATCH(ROWS($A$5:A10),'Task Inbox'!$R$6:$R$205,0)),"")</x:f>
      </x:c>
      <x:c r="H10" s="30" t="str">
        <x:f>IFERROR(INDEX('Task Inbox'!J$6:J$205,MATCH(ROWS($A$5:A10),'Task Inbox'!$R$6:$R$205,0)),"")</x:f>
      </x:c>
      <x:c r="I10" s="27" t="str">
        <x:f>IFERROR(INDEX('Task Inbox'!K$6:K$205,MATCH(ROWS($A$5:A10),'Task Inbox'!$R$6:$R$205,0)),"")</x:f>
      </x:c>
      <x:c r="J10" s="27" t="str">
        <x:f>IFERROR(INDEX('Task Inbox'!N$6:N$205,MATCH(ROWS($A$5:A10),'Task Inbox'!$R$6:$R$205,0)),"")</x:f>
      </x:c>
      <x:c r="K10" s="27" t="str">
        <x:f>IF($A10="","",IF($F10="Blocked","Blocked",IF($F10="Waiting on Others","Waiting",IF($G10&lt;TODAY(),"Overdue",IF($G10&lt;=TODAY()+1,"Due Soon","Priority")))))</x:f>
      </x:c>
    </x:row>
    <x:row r="11">
      <x:c r="A11" s="27" t="str">
        <x:f>IFERROR(INDEX('Task Inbox'!A$6:A$205,MATCH(ROWS($A$5:A11),'Task Inbox'!$R$6:$R$205,0)),"")</x:f>
      </x:c>
      <x:c r="B11" s="27" t="str">
        <x:f>IFERROR(INDEX('Task Inbox'!B$6:B$205,MATCH(ROWS($A$5:A11),'Task Inbox'!$R$6:$R$205,0)),"")</x:f>
      </x:c>
      <x:c r="C11" s="27" t="str">
        <x:f>IFERROR(INDEX('Task Inbox'!D$6:D$205,MATCH(ROWS($A$5:A11),'Task Inbox'!$R$6:$R$205,0)),"")</x:f>
      </x:c>
      <x:c r="D11" s="27" t="str">
        <x:f>IFERROR(INDEX('Task Inbox'!E$6:E$205,MATCH(ROWS($A$5:A11),'Task Inbox'!$R$6:$R$205,0)),"")</x:f>
      </x:c>
      <x:c r="E11" s="27" t="str">
        <x:f>IFERROR(INDEX('Task Inbox'!F$6:F$205,MATCH(ROWS($A$5:A11),'Task Inbox'!$R$6:$R$205,0)),"")</x:f>
      </x:c>
      <x:c r="F11" s="27" t="str">
        <x:f>IFERROR(INDEX('Task Inbox'!G$6:G$205,MATCH(ROWS($A$5:A11),'Task Inbox'!$R$6:$R$205,0)),"")</x:f>
      </x:c>
      <x:c r="G11" s="28" t="str">
        <x:f>IFERROR(INDEX('Task Inbox'!H$6:H$205,MATCH(ROWS($A$5:A11),'Task Inbox'!$R$6:$R$205,0)),"")</x:f>
      </x:c>
      <x:c r="H11" s="30" t="str">
        <x:f>IFERROR(INDEX('Task Inbox'!J$6:J$205,MATCH(ROWS($A$5:A11),'Task Inbox'!$R$6:$R$205,0)),"")</x:f>
      </x:c>
      <x:c r="I11" s="27" t="str">
        <x:f>IFERROR(INDEX('Task Inbox'!K$6:K$205,MATCH(ROWS($A$5:A11),'Task Inbox'!$R$6:$R$205,0)),"")</x:f>
      </x:c>
      <x:c r="J11" s="27" t="str">
        <x:f>IFERROR(INDEX('Task Inbox'!N$6:N$205,MATCH(ROWS($A$5:A11),'Task Inbox'!$R$6:$R$205,0)),"")</x:f>
      </x:c>
      <x:c r="K11" s="27" t="str">
        <x:f>IF($A11="","",IF($F11="Blocked","Blocked",IF($F11="Waiting on Others","Waiting",IF($G11&lt;TODAY(),"Overdue",IF($G11&lt;=TODAY()+1,"Due Soon","Priority")))))</x:f>
      </x:c>
    </x:row>
    <x:row r="12">
      <x:c r="A12" s="27" t="str">
        <x:f>IFERROR(INDEX('Task Inbox'!A$6:A$205,MATCH(ROWS($A$5:A12),'Task Inbox'!$R$6:$R$205,0)),"")</x:f>
      </x:c>
      <x:c r="B12" s="27" t="str">
        <x:f>IFERROR(INDEX('Task Inbox'!B$6:B$205,MATCH(ROWS($A$5:A12),'Task Inbox'!$R$6:$R$205,0)),"")</x:f>
      </x:c>
      <x:c r="C12" s="27" t="str">
        <x:f>IFERROR(INDEX('Task Inbox'!D$6:D$205,MATCH(ROWS($A$5:A12),'Task Inbox'!$R$6:$R$205,0)),"")</x:f>
      </x:c>
      <x:c r="D12" s="27" t="str">
        <x:f>IFERROR(INDEX('Task Inbox'!E$6:E$205,MATCH(ROWS($A$5:A12),'Task Inbox'!$R$6:$R$205,0)),"")</x:f>
      </x:c>
      <x:c r="E12" s="27" t="str">
        <x:f>IFERROR(INDEX('Task Inbox'!F$6:F$205,MATCH(ROWS($A$5:A12),'Task Inbox'!$R$6:$R$205,0)),"")</x:f>
      </x:c>
      <x:c r="F12" s="27" t="str">
        <x:f>IFERROR(INDEX('Task Inbox'!G$6:G$205,MATCH(ROWS($A$5:A12),'Task Inbox'!$R$6:$R$205,0)),"")</x:f>
      </x:c>
      <x:c r="G12" s="28" t="str">
        <x:f>IFERROR(INDEX('Task Inbox'!H$6:H$205,MATCH(ROWS($A$5:A12),'Task Inbox'!$R$6:$R$205,0)),"")</x:f>
      </x:c>
      <x:c r="H12" s="30" t="str">
        <x:f>IFERROR(INDEX('Task Inbox'!J$6:J$205,MATCH(ROWS($A$5:A12),'Task Inbox'!$R$6:$R$205,0)),"")</x:f>
      </x:c>
      <x:c r="I12" s="27" t="str">
        <x:f>IFERROR(INDEX('Task Inbox'!K$6:K$205,MATCH(ROWS($A$5:A12),'Task Inbox'!$R$6:$R$205,0)),"")</x:f>
      </x:c>
      <x:c r="J12" s="27" t="str">
        <x:f>IFERROR(INDEX('Task Inbox'!N$6:N$205,MATCH(ROWS($A$5:A12),'Task Inbox'!$R$6:$R$205,0)),"")</x:f>
      </x:c>
      <x:c r="K12" s="27" t="str">
        <x:f>IF($A12="","",IF($F12="Blocked","Blocked",IF($F12="Waiting on Others","Waiting",IF($G12&lt;TODAY(),"Overdue",IF($G12&lt;=TODAY()+1,"Due Soon","Priority")))))</x:f>
      </x:c>
    </x:row>
    <x:row r="13">
      <x:c r="A13" s="27" t="str">
        <x:f>IFERROR(INDEX('Task Inbox'!A$6:A$205,MATCH(ROWS($A$5:A13),'Task Inbox'!$R$6:$R$205,0)),"")</x:f>
      </x:c>
      <x:c r="B13" s="27" t="str">
        <x:f>IFERROR(INDEX('Task Inbox'!B$6:B$205,MATCH(ROWS($A$5:A13),'Task Inbox'!$R$6:$R$205,0)),"")</x:f>
      </x:c>
      <x:c r="C13" s="27" t="str">
        <x:f>IFERROR(INDEX('Task Inbox'!D$6:D$205,MATCH(ROWS($A$5:A13),'Task Inbox'!$R$6:$R$205,0)),"")</x:f>
      </x:c>
      <x:c r="D13" s="27" t="str">
        <x:f>IFERROR(INDEX('Task Inbox'!E$6:E$205,MATCH(ROWS($A$5:A13),'Task Inbox'!$R$6:$R$205,0)),"")</x:f>
      </x:c>
      <x:c r="E13" s="27" t="str">
        <x:f>IFERROR(INDEX('Task Inbox'!F$6:F$205,MATCH(ROWS($A$5:A13),'Task Inbox'!$R$6:$R$205,0)),"")</x:f>
      </x:c>
      <x:c r="F13" s="27" t="str">
        <x:f>IFERROR(INDEX('Task Inbox'!G$6:G$205,MATCH(ROWS($A$5:A13),'Task Inbox'!$R$6:$R$205,0)),"")</x:f>
      </x:c>
      <x:c r="G13" s="28" t="str">
        <x:f>IFERROR(INDEX('Task Inbox'!H$6:H$205,MATCH(ROWS($A$5:A13),'Task Inbox'!$R$6:$R$205,0)),"")</x:f>
      </x:c>
      <x:c r="H13" s="30" t="str">
        <x:f>IFERROR(INDEX('Task Inbox'!J$6:J$205,MATCH(ROWS($A$5:A13),'Task Inbox'!$R$6:$R$205,0)),"")</x:f>
      </x:c>
      <x:c r="I13" s="27" t="str">
        <x:f>IFERROR(INDEX('Task Inbox'!K$6:K$205,MATCH(ROWS($A$5:A13),'Task Inbox'!$R$6:$R$205,0)),"")</x:f>
      </x:c>
      <x:c r="J13" s="27" t="str">
        <x:f>IFERROR(INDEX('Task Inbox'!N$6:N$205,MATCH(ROWS($A$5:A13),'Task Inbox'!$R$6:$R$205,0)),"")</x:f>
      </x:c>
      <x:c r="K13" s="27" t="str">
        <x:f>IF($A13="","",IF($F13="Blocked","Blocked",IF($F13="Waiting on Others","Waiting",IF($G13&lt;TODAY(),"Overdue",IF($G13&lt;=TODAY()+1,"Due Soon","Priority")))))</x:f>
      </x:c>
    </x:row>
    <x:row r="14">
      <x:c r="A14" s="27" t="str">
        <x:f>IFERROR(INDEX('Task Inbox'!A$6:A$205,MATCH(ROWS($A$5:A14),'Task Inbox'!$R$6:$R$205,0)),"")</x:f>
      </x:c>
      <x:c r="B14" s="27" t="str">
        <x:f>IFERROR(INDEX('Task Inbox'!B$6:B$205,MATCH(ROWS($A$5:A14),'Task Inbox'!$R$6:$R$205,0)),"")</x:f>
      </x:c>
      <x:c r="C14" s="27" t="str">
        <x:f>IFERROR(INDEX('Task Inbox'!D$6:D$205,MATCH(ROWS($A$5:A14),'Task Inbox'!$R$6:$R$205,0)),"")</x:f>
      </x:c>
      <x:c r="D14" s="27" t="str">
        <x:f>IFERROR(INDEX('Task Inbox'!E$6:E$205,MATCH(ROWS($A$5:A14),'Task Inbox'!$R$6:$R$205,0)),"")</x:f>
      </x:c>
      <x:c r="E14" s="27" t="str">
        <x:f>IFERROR(INDEX('Task Inbox'!F$6:F$205,MATCH(ROWS($A$5:A14),'Task Inbox'!$R$6:$R$205,0)),"")</x:f>
      </x:c>
      <x:c r="F14" s="27" t="str">
        <x:f>IFERROR(INDEX('Task Inbox'!G$6:G$205,MATCH(ROWS($A$5:A14),'Task Inbox'!$R$6:$R$205,0)),"")</x:f>
      </x:c>
      <x:c r="G14" s="28" t="str">
        <x:f>IFERROR(INDEX('Task Inbox'!H$6:H$205,MATCH(ROWS($A$5:A14),'Task Inbox'!$R$6:$R$205,0)),"")</x:f>
      </x:c>
      <x:c r="H14" s="30" t="str">
        <x:f>IFERROR(INDEX('Task Inbox'!J$6:J$205,MATCH(ROWS($A$5:A14),'Task Inbox'!$R$6:$R$205,0)),"")</x:f>
      </x:c>
      <x:c r="I14" s="27" t="str">
        <x:f>IFERROR(INDEX('Task Inbox'!K$6:K$205,MATCH(ROWS($A$5:A14),'Task Inbox'!$R$6:$R$205,0)),"")</x:f>
      </x:c>
      <x:c r="J14" s="27" t="str">
        <x:f>IFERROR(INDEX('Task Inbox'!N$6:N$205,MATCH(ROWS($A$5:A14),'Task Inbox'!$R$6:$R$205,0)),"")</x:f>
      </x:c>
      <x:c r="K14" s="27" t="str">
        <x:f>IF($A14="","",IF($F14="Blocked","Blocked",IF($F14="Waiting on Others","Waiting",IF($G14&lt;TODAY(),"Overdue",IF($G14&lt;=TODAY()+1,"Due Soon","Priority")))))</x:f>
      </x:c>
    </x:row>
    <x:row r="15">
      <x:c r="A15" s="27" t="str">
        <x:f>IFERROR(INDEX('Task Inbox'!A$6:A$205,MATCH(ROWS($A$5:A15),'Task Inbox'!$R$6:$R$205,0)),"")</x:f>
      </x:c>
      <x:c r="B15" s="27" t="str">
        <x:f>IFERROR(INDEX('Task Inbox'!B$6:B$205,MATCH(ROWS($A$5:A15),'Task Inbox'!$R$6:$R$205,0)),"")</x:f>
      </x:c>
      <x:c r="C15" s="27" t="str">
        <x:f>IFERROR(INDEX('Task Inbox'!D$6:D$205,MATCH(ROWS($A$5:A15),'Task Inbox'!$R$6:$R$205,0)),"")</x:f>
      </x:c>
      <x:c r="D15" s="27" t="str">
        <x:f>IFERROR(INDEX('Task Inbox'!E$6:E$205,MATCH(ROWS($A$5:A15),'Task Inbox'!$R$6:$R$205,0)),"")</x:f>
      </x:c>
      <x:c r="E15" s="27" t="str">
        <x:f>IFERROR(INDEX('Task Inbox'!F$6:F$205,MATCH(ROWS($A$5:A15),'Task Inbox'!$R$6:$R$205,0)),"")</x:f>
      </x:c>
      <x:c r="F15" s="27" t="str">
        <x:f>IFERROR(INDEX('Task Inbox'!G$6:G$205,MATCH(ROWS($A$5:A15),'Task Inbox'!$R$6:$R$205,0)),"")</x:f>
      </x:c>
      <x:c r="G15" s="28" t="str">
        <x:f>IFERROR(INDEX('Task Inbox'!H$6:H$205,MATCH(ROWS($A$5:A15),'Task Inbox'!$R$6:$R$205,0)),"")</x:f>
      </x:c>
      <x:c r="H15" s="30" t="str">
        <x:f>IFERROR(INDEX('Task Inbox'!J$6:J$205,MATCH(ROWS($A$5:A15),'Task Inbox'!$R$6:$R$205,0)),"")</x:f>
      </x:c>
      <x:c r="I15" s="27" t="str">
        <x:f>IFERROR(INDEX('Task Inbox'!K$6:K$205,MATCH(ROWS($A$5:A15),'Task Inbox'!$R$6:$R$205,0)),"")</x:f>
      </x:c>
      <x:c r="J15" s="27" t="str">
        <x:f>IFERROR(INDEX('Task Inbox'!N$6:N$205,MATCH(ROWS($A$5:A15),'Task Inbox'!$R$6:$R$205,0)),"")</x:f>
      </x:c>
      <x:c r="K15" s="27" t="str">
        <x:f>IF($A15="","",IF($F15="Blocked","Blocked",IF($F15="Waiting on Others","Waiting",IF($G15&lt;TODAY(),"Overdue",IF($G15&lt;=TODAY()+1,"Due Soon","Priority")))))</x:f>
      </x:c>
    </x:row>
    <x:row r="16">
      <x:c r="A16" s="27" t="str">
        <x:f>IFERROR(INDEX('Task Inbox'!A$6:A$205,MATCH(ROWS($A$5:A16),'Task Inbox'!$R$6:$R$205,0)),"")</x:f>
      </x:c>
      <x:c r="B16" s="27" t="str">
        <x:f>IFERROR(INDEX('Task Inbox'!B$6:B$205,MATCH(ROWS($A$5:A16),'Task Inbox'!$R$6:$R$205,0)),"")</x:f>
      </x:c>
      <x:c r="C16" s="27" t="str">
        <x:f>IFERROR(INDEX('Task Inbox'!D$6:D$205,MATCH(ROWS($A$5:A16),'Task Inbox'!$R$6:$R$205,0)),"")</x:f>
      </x:c>
      <x:c r="D16" s="27" t="str">
        <x:f>IFERROR(INDEX('Task Inbox'!E$6:E$205,MATCH(ROWS($A$5:A16),'Task Inbox'!$R$6:$R$205,0)),"")</x:f>
      </x:c>
      <x:c r="E16" s="27" t="str">
        <x:f>IFERROR(INDEX('Task Inbox'!F$6:F$205,MATCH(ROWS($A$5:A16),'Task Inbox'!$R$6:$R$205,0)),"")</x:f>
      </x:c>
      <x:c r="F16" s="27" t="str">
        <x:f>IFERROR(INDEX('Task Inbox'!G$6:G$205,MATCH(ROWS($A$5:A16),'Task Inbox'!$R$6:$R$205,0)),"")</x:f>
      </x:c>
      <x:c r="G16" s="28" t="str">
        <x:f>IFERROR(INDEX('Task Inbox'!H$6:H$205,MATCH(ROWS($A$5:A16),'Task Inbox'!$R$6:$R$205,0)),"")</x:f>
      </x:c>
      <x:c r="H16" s="30" t="str">
        <x:f>IFERROR(INDEX('Task Inbox'!J$6:J$205,MATCH(ROWS($A$5:A16),'Task Inbox'!$R$6:$R$205,0)),"")</x:f>
      </x:c>
      <x:c r="I16" s="27" t="str">
        <x:f>IFERROR(INDEX('Task Inbox'!K$6:K$205,MATCH(ROWS($A$5:A16),'Task Inbox'!$R$6:$R$205,0)),"")</x:f>
      </x:c>
      <x:c r="J16" s="27" t="str">
        <x:f>IFERROR(INDEX('Task Inbox'!N$6:N$205,MATCH(ROWS($A$5:A16),'Task Inbox'!$R$6:$R$205,0)),"")</x:f>
      </x:c>
      <x:c r="K16" s="27" t="str">
        <x:f>IF($A16="","",IF($F16="Blocked","Blocked",IF($F16="Waiting on Others","Waiting",IF($G16&lt;TODAY(),"Overdue",IF($G16&lt;=TODAY()+1,"Due Soon","Priority")))))</x:f>
      </x:c>
    </x:row>
    <x:row r="17">
      <x:c r="A17" s="27" t="str">
        <x:f>IFERROR(INDEX('Task Inbox'!A$6:A$205,MATCH(ROWS($A$5:A17),'Task Inbox'!$R$6:$R$205,0)),"")</x:f>
      </x:c>
      <x:c r="B17" s="27" t="str">
        <x:f>IFERROR(INDEX('Task Inbox'!B$6:B$205,MATCH(ROWS($A$5:A17),'Task Inbox'!$R$6:$R$205,0)),"")</x:f>
      </x:c>
      <x:c r="C17" s="27" t="str">
        <x:f>IFERROR(INDEX('Task Inbox'!D$6:D$205,MATCH(ROWS($A$5:A17),'Task Inbox'!$R$6:$R$205,0)),"")</x:f>
      </x:c>
      <x:c r="D17" s="27" t="str">
        <x:f>IFERROR(INDEX('Task Inbox'!E$6:E$205,MATCH(ROWS($A$5:A17),'Task Inbox'!$R$6:$R$205,0)),"")</x:f>
      </x:c>
      <x:c r="E17" s="27" t="str">
        <x:f>IFERROR(INDEX('Task Inbox'!F$6:F$205,MATCH(ROWS($A$5:A17),'Task Inbox'!$R$6:$R$205,0)),"")</x:f>
      </x:c>
      <x:c r="F17" s="27" t="str">
        <x:f>IFERROR(INDEX('Task Inbox'!G$6:G$205,MATCH(ROWS($A$5:A17),'Task Inbox'!$R$6:$R$205,0)),"")</x:f>
      </x:c>
      <x:c r="G17" s="28" t="str">
        <x:f>IFERROR(INDEX('Task Inbox'!H$6:H$205,MATCH(ROWS($A$5:A17),'Task Inbox'!$R$6:$R$205,0)),"")</x:f>
      </x:c>
      <x:c r="H17" s="30" t="str">
        <x:f>IFERROR(INDEX('Task Inbox'!J$6:J$205,MATCH(ROWS($A$5:A17),'Task Inbox'!$R$6:$R$205,0)),"")</x:f>
      </x:c>
      <x:c r="I17" s="27" t="str">
        <x:f>IFERROR(INDEX('Task Inbox'!K$6:K$205,MATCH(ROWS($A$5:A17),'Task Inbox'!$R$6:$R$205,0)),"")</x:f>
      </x:c>
      <x:c r="J17" s="27" t="str">
        <x:f>IFERROR(INDEX('Task Inbox'!N$6:N$205,MATCH(ROWS($A$5:A17),'Task Inbox'!$R$6:$R$205,0)),"")</x:f>
      </x:c>
      <x:c r="K17" s="27" t="str">
        <x:f>IF($A17="","",IF($F17="Blocked","Blocked",IF($F17="Waiting on Others","Waiting",IF($G17&lt;TODAY(),"Overdue",IF($G17&lt;=TODAY()+1,"Due Soon","Priority")))))</x:f>
      </x:c>
    </x:row>
    <x:row r="18">
      <x:c r="A18" s="27" t="str">
        <x:f>IFERROR(INDEX('Task Inbox'!A$6:A$205,MATCH(ROWS($A$5:A18),'Task Inbox'!$R$6:$R$205,0)),"")</x:f>
      </x:c>
      <x:c r="B18" s="27" t="str">
        <x:f>IFERROR(INDEX('Task Inbox'!B$6:B$205,MATCH(ROWS($A$5:A18),'Task Inbox'!$R$6:$R$205,0)),"")</x:f>
      </x:c>
      <x:c r="C18" s="27" t="str">
        <x:f>IFERROR(INDEX('Task Inbox'!D$6:D$205,MATCH(ROWS($A$5:A18),'Task Inbox'!$R$6:$R$205,0)),"")</x:f>
      </x:c>
      <x:c r="D18" s="27" t="str">
        <x:f>IFERROR(INDEX('Task Inbox'!E$6:E$205,MATCH(ROWS($A$5:A18),'Task Inbox'!$R$6:$R$205,0)),"")</x:f>
      </x:c>
      <x:c r="E18" s="27" t="str">
        <x:f>IFERROR(INDEX('Task Inbox'!F$6:F$205,MATCH(ROWS($A$5:A18),'Task Inbox'!$R$6:$R$205,0)),"")</x:f>
      </x:c>
      <x:c r="F18" s="27" t="str">
        <x:f>IFERROR(INDEX('Task Inbox'!G$6:G$205,MATCH(ROWS($A$5:A18),'Task Inbox'!$R$6:$R$205,0)),"")</x:f>
      </x:c>
      <x:c r="G18" s="28" t="str">
        <x:f>IFERROR(INDEX('Task Inbox'!H$6:H$205,MATCH(ROWS($A$5:A18),'Task Inbox'!$R$6:$R$205,0)),"")</x:f>
      </x:c>
      <x:c r="H18" s="30" t="str">
        <x:f>IFERROR(INDEX('Task Inbox'!J$6:J$205,MATCH(ROWS($A$5:A18),'Task Inbox'!$R$6:$R$205,0)),"")</x:f>
      </x:c>
      <x:c r="I18" s="27" t="str">
        <x:f>IFERROR(INDEX('Task Inbox'!K$6:K$205,MATCH(ROWS($A$5:A18),'Task Inbox'!$R$6:$R$205,0)),"")</x:f>
      </x:c>
      <x:c r="J18" s="27" t="str">
        <x:f>IFERROR(INDEX('Task Inbox'!N$6:N$205,MATCH(ROWS($A$5:A18),'Task Inbox'!$R$6:$R$205,0)),"")</x:f>
      </x:c>
      <x:c r="K18" s="27" t="str">
        <x:f>IF($A18="","",IF($F18="Blocked","Blocked",IF($F18="Waiting on Others","Waiting",IF($G18&lt;TODAY(),"Overdue",IF($G18&lt;=TODAY()+1,"Due Soon","Priority")))))</x:f>
      </x:c>
    </x:row>
    <x:row r="19">
      <x:c r="A19" s="27" t="str">
        <x:f>IFERROR(INDEX('Task Inbox'!A$6:A$205,MATCH(ROWS($A$5:A19),'Task Inbox'!$R$6:$R$205,0)),"")</x:f>
      </x:c>
      <x:c r="B19" s="27" t="str">
        <x:f>IFERROR(INDEX('Task Inbox'!B$6:B$205,MATCH(ROWS($A$5:A19),'Task Inbox'!$R$6:$R$205,0)),"")</x:f>
      </x:c>
      <x:c r="C19" s="27" t="str">
        <x:f>IFERROR(INDEX('Task Inbox'!D$6:D$205,MATCH(ROWS($A$5:A19),'Task Inbox'!$R$6:$R$205,0)),"")</x:f>
      </x:c>
      <x:c r="D19" s="27" t="str">
        <x:f>IFERROR(INDEX('Task Inbox'!E$6:E$205,MATCH(ROWS($A$5:A19),'Task Inbox'!$R$6:$R$205,0)),"")</x:f>
      </x:c>
      <x:c r="E19" s="27" t="str">
        <x:f>IFERROR(INDEX('Task Inbox'!F$6:F$205,MATCH(ROWS($A$5:A19),'Task Inbox'!$R$6:$R$205,0)),"")</x:f>
      </x:c>
      <x:c r="F19" s="27" t="str">
        <x:f>IFERROR(INDEX('Task Inbox'!G$6:G$205,MATCH(ROWS($A$5:A19),'Task Inbox'!$R$6:$R$205,0)),"")</x:f>
      </x:c>
      <x:c r="G19" s="28" t="str">
        <x:f>IFERROR(INDEX('Task Inbox'!H$6:H$205,MATCH(ROWS($A$5:A19),'Task Inbox'!$R$6:$R$205,0)),"")</x:f>
      </x:c>
      <x:c r="H19" s="30" t="str">
        <x:f>IFERROR(INDEX('Task Inbox'!J$6:J$205,MATCH(ROWS($A$5:A19),'Task Inbox'!$R$6:$R$205,0)),"")</x:f>
      </x:c>
      <x:c r="I19" s="27" t="str">
        <x:f>IFERROR(INDEX('Task Inbox'!K$6:K$205,MATCH(ROWS($A$5:A19),'Task Inbox'!$R$6:$R$205,0)),"")</x:f>
      </x:c>
      <x:c r="J19" s="27" t="str">
        <x:f>IFERROR(INDEX('Task Inbox'!N$6:N$205,MATCH(ROWS($A$5:A19),'Task Inbox'!$R$6:$R$205,0)),"")</x:f>
      </x:c>
      <x:c r="K19" s="27" t="str">
        <x:f>IF($A19="","",IF($F19="Blocked","Blocked",IF($F19="Waiting on Others","Waiting",IF($G19&lt;TODAY(),"Overdue",IF($G19&lt;=TODAY()+1,"Due Soon","Priority")))))</x:f>
      </x:c>
    </x:row>
    <x:row r="20">
      <x:c r="A20" s="27" t="str">
        <x:f>IFERROR(INDEX('Task Inbox'!A$6:A$205,MATCH(ROWS($A$5:A20),'Task Inbox'!$R$6:$R$205,0)),"")</x:f>
      </x:c>
      <x:c r="B20" s="27" t="str">
        <x:f>IFERROR(INDEX('Task Inbox'!B$6:B$205,MATCH(ROWS($A$5:A20),'Task Inbox'!$R$6:$R$205,0)),"")</x:f>
      </x:c>
      <x:c r="C20" s="27" t="str">
        <x:f>IFERROR(INDEX('Task Inbox'!D$6:D$205,MATCH(ROWS($A$5:A20),'Task Inbox'!$R$6:$R$205,0)),"")</x:f>
      </x:c>
      <x:c r="D20" s="27" t="str">
        <x:f>IFERROR(INDEX('Task Inbox'!E$6:E$205,MATCH(ROWS($A$5:A20),'Task Inbox'!$R$6:$R$205,0)),"")</x:f>
      </x:c>
      <x:c r="E20" s="27" t="str">
        <x:f>IFERROR(INDEX('Task Inbox'!F$6:F$205,MATCH(ROWS($A$5:A20),'Task Inbox'!$R$6:$R$205,0)),"")</x:f>
      </x:c>
      <x:c r="F20" s="27" t="str">
        <x:f>IFERROR(INDEX('Task Inbox'!G$6:G$205,MATCH(ROWS($A$5:A20),'Task Inbox'!$R$6:$R$205,0)),"")</x:f>
      </x:c>
      <x:c r="G20" s="28" t="str">
        <x:f>IFERROR(INDEX('Task Inbox'!H$6:H$205,MATCH(ROWS($A$5:A20),'Task Inbox'!$R$6:$R$205,0)),"")</x:f>
      </x:c>
      <x:c r="H20" s="30" t="str">
        <x:f>IFERROR(INDEX('Task Inbox'!J$6:J$205,MATCH(ROWS($A$5:A20),'Task Inbox'!$R$6:$R$205,0)),"")</x:f>
      </x:c>
      <x:c r="I20" s="27" t="str">
        <x:f>IFERROR(INDEX('Task Inbox'!K$6:K$205,MATCH(ROWS($A$5:A20),'Task Inbox'!$R$6:$R$205,0)),"")</x:f>
      </x:c>
      <x:c r="J20" s="27" t="str">
        <x:f>IFERROR(INDEX('Task Inbox'!N$6:N$205,MATCH(ROWS($A$5:A20),'Task Inbox'!$R$6:$R$205,0)),"")</x:f>
      </x:c>
      <x:c r="K20" s="27" t="str">
        <x:f>IF($A20="","",IF($F20="Blocked","Blocked",IF($F20="Waiting on Others","Waiting",IF($G20&lt;TODAY(),"Overdue",IF($G20&lt;=TODAY()+1,"Due Soon","Priority")))))</x:f>
      </x:c>
    </x:row>
    <x:row r="21">
      <x:c r="A21" s="27" t="str">
        <x:f>IFERROR(INDEX('Task Inbox'!A$6:A$205,MATCH(ROWS($A$5:A21),'Task Inbox'!$R$6:$R$205,0)),"")</x:f>
      </x:c>
      <x:c r="B21" s="27" t="str">
        <x:f>IFERROR(INDEX('Task Inbox'!B$6:B$205,MATCH(ROWS($A$5:A21),'Task Inbox'!$R$6:$R$205,0)),"")</x:f>
      </x:c>
      <x:c r="C21" s="27" t="str">
        <x:f>IFERROR(INDEX('Task Inbox'!D$6:D$205,MATCH(ROWS($A$5:A21),'Task Inbox'!$R$6:$R$205,0)),"")</x:f>
      </x:c>
      <x:c r="D21" s="27" t="str">
        <x:f>IFERROR(INDEX('Task Inbox'!E$6:E$205,MATCH(ROWS($A$5:A21),'Task Inbox'!$R$6:$R$205,0)),"")</x:f>
      </x:c>
      <x:c r="E21" s="27" t="str">
        <x:f>IFERROR(INDEX('Task Inbox'!F$6:F$205,MATCH(ROWS($A$5:A21),'Task Inbox'!$R$6:$R$205,0)),"")</x:f>
      </x:c>
      <x:c r="F21" s="27" t="str">
        <x:f>IFERROR(INDEX('Task Inbox'!G$6:G$205,MATCH(ROWS($A$5:A21),'Task Inbox'!$R$6:$R$205,0)),"")</x:f>
      </x:c>
      <x:c r="G21" s="28" t="str">
        <x:f>IFERROR(INDEX('Task Inbox'!H$6:H$205,MATCH(ROWS($A$5:A21),'Task Inbox'!$R$6:$R$205,0)),"")</x:f>
      </x:c>
      <x:c r="H21" s="30" t="str">
        <x:f>IFERROR(INDEX('Task Inbox'!J$6:J$205,MATCH(ROWS($A$5:A21),'Task Inbox'!$R$6:$R$205,0)),"")</x:f>
      </x:c>
      <x:c r="I21" s="27" t="str">
        <x:f>IFERROR(INDEX('Task Inbox'!K$6:K$205,MATCH(ROWS($A$5:A21),'Task Inbox'!$R$6:$R$205,0)),"")</x:f>
      </x:c>
      <x:c r="J21" s="27" t="str">
        <x:f>IFERROR(INDEX('Task Inbox'!N$6:N$205,MATCH(ROWS($A$5:A21),'Task Inbox'!$R$6:$R$205,0)),"")</x:f>
      </x:c>
      <x:c r="K21" s="27" t="str">
        <x:f>IF($A21="","",IF($F21="Blocked","Blocked",IF($F21="Waiting on Others","Waiting",IF($G21&lt;TODAY(),"Overdue",IF($G21&lt;=TODAY()+1,"Due Soon","Priority")))))</x:f>
      </x:c>
    </x:row>
    <x:row r="22">
      <x:c r="A22" s="27" t="str">
        <x:f>IFERROR(INDEX('Task Inbox'!A$6:A$205,MATCH(ROWS($A$5:A22),'Task Inbox'!$R$6:$R$205,0)),"")</x:f>
      </x:c>
      <x:c r="B22" s="27" t="str">
        <x:f>IFERROR(INDEX('Task Inbox'!B$6:B$205,MATCH(ROWS($A$5:A22),'Task Inbox'!$R$6:$R$205,0)),"")</x:f>
      </x:c>
      <x:c r="C22" s="27" t="str">
        <x:f>IFERROR(INDEX('Task Inbox'!D$6:D$205,MATCH(ROWS($A$5:A22),'Task Inbox'!$R$6:$R$205,0)),"")</x:f>
      </x:c>
      <x:c r="D22" s="27" t="str">
        <x:f>IFERROR(INDEX('Task Inbox'!E$6:E$205,MATCH(ROWS($A$5:A22),'Task Inbox'!$R$6:$R$205,0)),"")</x:f>
      </x:c>
      <x:c r="E22" s="27" t="str">
        <x:f>IFERROR(INDEX('Task Inbox'!F$6:F$205,MATCH(ROWS($A$5:A22),'Task Inbox'!$R$6:$R$205,0)),"")</x:f>
      </x:c>
      <x:c r="F22" s="27" t="str">
        <x:f>IFERROR(INDEX('Task Inbox'!G$6:G$205,MATCH(ROWS($A$5:A22),'Task Inbox'!$R$6:$R$205,0)),"")</x:f>
      </x:c>
      <x:c r="G22" s="28" t="str">
        <x:f>IFERROR(INDEX('Task Inbox'!H$6:H$205,MATCH(ROWS($A$5:A22),'Task Inbox'!$R$6:$R$205,0)),"")</x:f>
      </x:c>
      <x:c r="H22" s="30" t="str">
        <x:f>IFERROR(INDEX('Task Inbox'!J$6:J$205,MATCH(ROWS($A$5:A22),'Task Inbox'!$R$6:$R$205,0)),"")</x:f>
      </x:c>
      <x:c r="I22" s="27" t="str">
        <x:f>IFERROR(INDEX('Task Inbox'!K$6:K$205,MATCH(ROWS($A$5:A22),'Task Inbox'!$R$6:$R$205,0)),"")</x:f>
      </x:c>
      <x:c r="J22" s="27" t="str">
        <x:f>IFERROR(INDEX('Task Inbox'!N$6:N$205,MATCH(ROWS($A$5:A22),'Task Inbox'!$R$6:$R$205,0)),"")</x:f>
      </x:c>
      <x:c r="K22" s="27" t="str">
        <x:f>IF($A22="","",IF($F22="Blocked","Blocked",IF($F22="Waiting on Others","Waiting",IF($G22&lt;TODAY(),"Overdue",IF($G22&lt;=TODAY()+1,"Due Soon","Priority")))))</x:f>
      </x:c>
    </x:row>
    <x:row r="23">
      <x:c r="A23" s="27" t="str">
        <x:f>IFERROR(INDEX('Task Inbox'!A$6:A$205,MATCH(ROWS($A$5:A23),'Task Inbox'!$R$6:$R$205,0)),"")</x:f>
      </x:c>
      <x:c r="B23" s="27" t="str">
        <x:f>IFERROR(INDEX('Task Inbox'!B$6:B$205,MATCH(ROWS($A$5:A23),'Task Inbox'!$R$6:$R$205,0)),"")</x:f>
      </x:c>
      <x:c r="C23" s="27" t="str">
        <x:f>IFERROR(INDEX('Task Inbox'!D$6:D$205,MATCH(ROWS($A$5:A23),'Task Inbox'!$R$6:$R$205,0)),"")</x:f>
      </x:c>
      <x:c r="D23" s="27" t="str">
        <x:f>IFERROR(INDEX('Task Inbox'!E$6:E$205,MATCH(ROWS($A$5:A23),'Task Inbox'!$R$6:$R$205,0)),"")</x:f>
      </x:c>
      <x:c r="E23" s="27" t="str">
        <x:f>IFERROR(INDEX('Task Inbox'!F$6:F$205,MATCH(ROWS($A$5:A23),'Task Inbox'!$R$6:$R$205,0)),"")</x:f>
      </x:c>
      <x:c r="F23" s="27" t="str">
        <x:f>IFERROR(INDEX('Task Inbox'!G$6:G$205,MATCH(ROWS($A$5:A23),'Task Inbox'!$R$6:$R$205,0)),"")</x:f>
      </x:c>
      <x:c r="G23" s="28" t="str">
        <x:f>IFERROR(INDEX('Task Inbox'!H$6:H$205,MATCH(ROWS($A$5:A23),'Task Inbox'!$R$6:$R$205,0)),"")</x:f>
      </x:c>
      <x:c r="H23" s="30" t="str">
        <x:f>IFERROR(INDEX('Task Inbox'!J$6:J$205,MATCH(ROWS($A$5:A23),'Task Inbox'!$R$6:$R$205,0)),"")</x:f>
      </x:c>
      <x:c r="I23" s="27" t="str">
        <x:f>IFERROR(INDEX('Task Inbox'!K$6:K$205,MATCH(ROWS($A$5:A23),'Task Inbox'!$R$6:$R$205,0)),"")</x:f>
      </x:c>
      <x:c r="J23" s="27" t="str">
        <x:f>IFERROR(INDEX('Task Inbox'!N$6:N$205,MATCH(ROWS($A$5:A23),'Task Inbox'!$R$6:$R$205,0)),"")</x:f>
      </x:c>
      <x:c r="K23" s="27" t="str">
        <x:f>IF($A23="","",IF($F23="Blocked","Blocked",IF($F23="Waiting on Others","Waiting",IF($G23&lt;TODAY(),"Overdue",IF($G23&lt;=TODAY()+1,"Due Soon","Priority")))))</x:f>
      </x:c>
    </x:row>
    <x:row r="24">
      <x:c r="A24" s="27" t="str">
        <x:f>IFERROR(INDEX('Task Inbox'!A$6:A$205,MATCH(ROWS($A$5:A24),'Task Inbox'!$R$6:$R$205,0)),"")</x:f>
      </x:c>
      <x:c r="B24" s="27" t="str">
        <x:f>IFERROR(INDEX('Task Inbox'!B$6:B$205,MATCH(ROWS($A$5:A24),'Task Inbox'!$R$6:$R$205,0)),"")</x:f>
      </x:c>
      <x:c r="C24" s="27" t="str">
        <x:f>IFERROR(INDEX('Task Inbox'!D$6:D$205,MATCH(ROWS($A$5:A24),'Task Inbox'!$R$6:$R$205,0)),"")</x:f>
      </x:c>
      <x:c r="D24" s="27" t="str">
        <x:f>IFERROR(INDEX('Task Inbox'!E$6:E$205,MATCH(ROWS($A$5:A24),'Task Inbox'!$R$6:$R$205,0)),"")</x:f>
      </x:c>
      <x:c r="E24" s="27" t="str">
        <x:f>IFERROR(INDEX('Task Inbox'!F$6:F$205,MATCH(ROWS($A$5:A24),'Task Inbox'!$R$6:$R$205,0)),"")</x:f>
      </x:c>
      <x:c r="F24" s="27" t="str">
        <x:f>IFERROR(INDEX('Task Inbox'!G$6:G$205,MATCH(ROWS($A$5:A24),'Task Inbox'!$R$6:$R$205,0)),"")</x:f>
      </x:c>
      <x:c r="G24" s="28" t="str">
        <x:f>IFERROR(INDEX('Task Inbox'!H$6:H$205,MATCH(ROWS($A$5:A24),'Task Inbox'!$R$6:$R$205,0)),"")</x:f>
      </x:c>
      <x:c r="H24" s="30" t="str">
        <x:f>IFERROR(INDEX('Task Inbox'!J$6:J$205,MATCH(ROWS($A$5:A24),'Task Inbox'!$R$6:$R$205,0)),"")</x:f>
      </x:c>
      <x:c r="I24" s="27" t="str">
        <x:f>IFERROR(INDEX('Task Inbox'!K$6:K$205,MATCH(ROWS($A$5:A24),'Task Inbox'!$R$6:$R$205,0)),"")</x:f>
      </x:c>
      <x:c r="J24" s="27" t="str">
        <x:f>IFERROR(INDEX('Task Inbox'!N$6:N$205,MATCH(ROWS($A$5:A24),'Task Inbox'!$R$6:$R$205,0)),"")</x:f>
      </x:c>
      <x:c r="K24" s="27" t="str">
        <x:f>IF($A24="","",IF($F24="Blocked","Blocked",IF($F24="Waiting on Others","Waiting",IF($G24&lt;TODAY(),"Overdue",IF($G24&lt;=TODAY()+1,"Due Soon","Priority")))))</x:f>
      </x:c>
    </x:row>
    <x:row r="25">
      <x:c r="A25" s="27" t="str">
        <x:f>IFERROR(INDEX('Task Inbox'!A$6:A$205,MATCH(ROWS($A$5:A25),'Task Inbox'!$R$6:$R$205,0)),"")</x:f>
      </x:c>
      <x:c r="B25" s="27" t="str">
        <x:f>IFERROR(INDEX('Task Inbox'!B$6:B$205,MATCH(ROWS($A$5:A25),'Task Inbox'!$R$6:$R$205,0)),"")</x:f>
      </x:c>
      <x:c r="C25" s="27" t="str">
        <x:f>IFERROR(INDEX('Task Inbox'!D$6:D$205,MATCH(ROWS($A$5:A25),'Task Inbox'!$R$6:$R$205,0)),"")</x:f>
      </x:c>
      <x:c r="D25" s="27" t="str">
        <x:f>IFERROR(INDEX('Task Inbox'!E$6:E$205,MATCH(ROWS($A$5:A25),'Task Inbox'!$R$6:$R$205,0)),"")</x:f>
      </x:c>
      <x:c r="E25" s="27" t="str">
        <x:f>IFERROR(INDEX('Task Inbox'!F$6:F$205,MATCH(ROWS($A$5:A25),'Task Inbox'!$R$6:$R$205,0)),"")</x:f>
      </x:c>
      <x:c r="F25" s="27" t="str">
        <x:f>IFERROR(INDEX('Task Inbox'!G$6:G$205,MATCH(ROWS($A$5:A25),'Task Inbox'!$R$6:$R$205,0)),"")</x:f>
      </x:c>
      <x:c r="G25" s="28" t="str">
        <x:f>IFERROR(INDEX('Task Inbox'!H$6:H$205,MATCH(ROWS($A$5:A25),'Task Inbox'!$R$6:$R$205,0)),"")</x:f>
      </x:c>
      <x:c r="H25" s="30" t="str">
        <x:f>IFERROR(INDEX('Task Inbox'!J$6:J$205,MATCH(ROWS($A$5:A25),'Task Inbox'!$R$6:$R$205,0)),"")</x:f>
      </x:c>
      <x:c r="I25" s="27" t="str">
        <x:f>IFERROR(INDEX('Task Inbox'!K$6:K$205,MATCH(ROWS($A$5:A25),'Task Inbox'!$R$6:$R$205,0)),"")</x:f>
      </x:c>
      <x:c r="J25" s="27" t="str">
        <x:f>IFERROR(INDEX('Task Inbox'!N$6:N$205,MATCH(ROWS($A$5:A25),'Task Inbox'!$R$6:$R$205,0)),"")</x:f>
      </x:c>
      <x:c r="K25" s="27" t="str">
        <x:f>IF($A25="","",IF($F25="Blocked","Blocked",IF($F25="Waiting on Others","Waiting",IF($G25&lt;TODAY(),"Overdue",IF($G25&lt;=TODAY()+1,"Due Soon","Priority")))))</x:f>
      </x:c>
    </x:row>
    <x:row r="26">
      <x:c r="A26" s="27" t="str">
        <x:f>IFERROR(INDEX('Task Inbox'!A$6:A$205,MATCH(ROWS($A$5:A26),'Task Inbox'!$R$6:$R$205,0)),"")</x:f>
      </x:c>
      <x:c r="B26" s="27" t="str">
        <x:f>IFERROR(INDEX('Task Inbox'!B$6:B$205,MATCH(ROWS($A$5:A26),'Task Inbox'!$R$6:$R$205,0)),"")</x:f>
      </x:c>
      <x:c r="C26" s="27" t="str">
        <x:f>IFERROR(INDEX('Task Inbox'!D$6:D$205,MATCH(ROWS($A$5:A26),'Task Inbox'!$R$6:$R$205,0)),"")</x:f>
      </x:c>
      <x:c r="D26" s="27" t="str">
        <x:f>IFERROR(INDEX('Task Inbox'!E$6:E$205,MATCH(ROWS($A$5:A26),'Task Inbox'!$R$6:$R$205,0)),"")</x:f>
      </x:c>
      <x:c r="E26" s="27" t="str">
        <x:f>IFERROR(INDEX('Task Inbox'!F$6:F$205,MATCH(ROWS($A$5:A26),'Task Inbox'!$R$6:$R$205,0)),"")</x:f>
      </x:c>
      <x:c r="F26" s="27" t="str">
        <x:f>IFERROR(INDEX('Task Inbox'!G$6:G$205,MATCH(ROWS($A$5:A26),'Task Inbox'!$R$6:$R$205,0)),"")</x:f>
      </x:c>
      <x:c r="G26" s="28" t="str">
        <x:f>IFERROR(INDEX('Task Inbox'!H$6:H$205,MATCH(ROWS($A$5:A26),'Task Inbox'!$R$6:$R$205,0)),"")</x:f>
      </x:c>
      <x:c r="H26" s="30" t="str">
        <x:f>IFERROR(INDEX('Task Inbox'!J$6:J$205,MATCH(ROWS($A$5:A26),'Task Inbox'!$R$6:$R$205,0)),"")</x:f>
      </x:c>
      <x:c r="I26" s="27" t="str">
        <x:f>IFERROR(INDEX('Task Inbox'!K$6:K$205,MATCH(ROWS($A$5:A26),'Task Inbox'!$R$6:$R$205,0)),"")</x:f>
      </x:c>
      <x:c r="J26" s="27" t="str">
        <x:f>IFERROR(INDEX('Task Inbox'!N$6:N$205,MATCH(ROWS($A$5:A26),'Task Inbox'!$R$6:$R$205,0)),"")</x:f>
      </x:c>
      <x:c r="K26" s="27" t="str">
        <x:f>IF($A26="","",IF($F26="Blocked","Blocked",IF($F26="Waiting on Others","Waiting",IF($G26&lt;TODAY(),"Overdue",IF($G26&lt;=TODAY()+1,"Due Soon","Priority")))))</x:f>
      </x:c>
    </x:row>
    <x:row r="27">
      <x:c r="A27" s="27" t="str">
        <x:f>IFERROR(INDEX('Task Inbox'!A$6:A$205,MATCH(ROWS($A$5:A27),'Task Inbox'!$R$6:$R$205,0)),"")</x:f>
      </x:c>
      <x:c r="B27" s="27" t="str">
        <x:f>IFERROR(INDEX('Task Inbox'!B$6:B$205,MATCH(ROWS($A$5:A27),'Task Inbox'!$R$6:$R$205,0)),"")</x:f>
      </x:c>
      <x:c r="C27" s="27" t="str">
        <x:f>IFERROR(INDEX('Task Inbox'!D$6:D$205,MATCH(ROWS($A$5:A27),'Task Inbox'!$R$6:$R$205,0)),"")</x:f>
      </x:c>
      <x:c r="D27" s="27" t="str">
        <x:f>IFERROR(INDEX('Task Inbox'!E$6:E$205,MATCH(ROWS($A$5:A27),'Task Inbox'!$R$6:$R$205,0)),"")</x:f>
      </x:c>
      <x:c r="E27" s="27" t="str">
        <x:f>IFERROR(INDEX('Task Inbox'!F$6:F$205,MATCH(ROWS($A$5:A27),'Task Inbox'!$R$6:$R$205,0)),"")</x:f>
      </x:c>
      <x:c r="F27" s="27" t="str">
        <x:f>IFERROR(INDEX('Task Inbox'!G$6:G$205,MATCH(ROWS($A$5:A27),'Task Inbox'!$R$6:$R$205,0)),"")</x:f>
      </x:c>
      <x:c r="G27" s="28" t="str">
        <x:f>IFERROR(INDEX('Task Inbox'!H$6:H$205,MATCH(ROWS($A$5:A27),'Task Inbox'!$R$6:$R$205,0)),"")</x:f>
      </x:c>
      <x:c r="H27" s="30" t="str">
        <x:f>IFERROR(INDEX('Task Inbox'!J$6:J$205,MATCH(ROWS($A$5:A27),'Task Inbox'!$R$6:$R$205,0)),"")</x:f>
      </x:c>
      <x:c r="I27" s="27" t="str">
        <x:f>IFERROR(INDEX('Task Inbox'!K$6:K$205,MATCH(ROWS($A$5:A27),'Task Inbox'!$R$6:$R$205,0)),"")</x:f>
      </x:c>
      <x:c r="J27" s="27" t="str">
        <x:f>IFERROR(INDEX('Task Inbox'!N$6:N$205,MATCH(ROWS($A$5:A27),'Task Inbox'!$R$6:$R$205,0)),"")</x:f>
      </x:c>
      <x:c r="K27" s="27" t="str">
        <x:f>IF($A27="","",IF($F27="Blocked","Blocked",IF($F27="Waiting on Others","Waiting",IF($G27&lt;TODAY(),"Overdue",IF($G27&lt;=TODAY()+1,"Due Soon","Priority")))))</x:f>
      </x:c>
    </x:row>
    <x:row r="28">
      <x:c r="A28" s="27" t="str">
        <x:f>IFERROR(INDEX('Task Inbox'!A$6:A$205,MATCH(ROWS($A$5:A28),'Task Inbox'!$R$6:$R$205,0)),"")</x:f>
      </x:c>
      <x:c r="B28" s="27" t="str">
        <x:f>IFERROR(INDEX('Task Inbox'!B$6:B$205,MATCH(ROWS($A$5:A28),'Task Inbox'!$R$6:$R$205,0)),"")</x:f>
      </x:c>
      <x:c r="C28" s="27" t="str">
        <x:f>IFERROR(INDEX('Task Inbox'!D$6:D$205,MATCH(ROWS($A$5:A28),'Task Inbox'!$R$6:$R$205,0)),"")</x:f>
      </x:c>
      <x:c r="D28" s="27" t="str">
        <x:f>IFERROR(INDEX('Task Inbox'!E$6:E$205,MATCH(ROWS($A$5:A28),'Task Inbox'!$R$6:$R$205,0)),"")</x:f>
      </x:c>
      <x:c r="E28" s="27" t="str">
        <x:f>IFERROR(INDEX('Task Inbox'!F$6:F$205,MATCH(ROWS($A$5:A28),'Task Inbox'!$R$6:$R$205,0)),"")</x:f>
      </x:c>
      <x:c r="F28" s="27" t="str">
        <x:f>IFERROR(INDEX('Task Inbox'!G$6:G$205,MATCH(ROWS($A$5:A28),'Task Inbox'!$R$6:$R$205,0)),"")</x:f>
      </x:c>
      <x:c r="G28" s="28" t="str">
        <x:f>IFERROR(INDEX('Task Inbox'!H$6:H$205,MATCH(ROWS($A$5:A28),'Task Inbox'!$R$6:$R$205,0)),"")</x:f>
      </x:c>
      <x:c r="H28" s="30" t="str">
        <x:f>IFERROR(INDEX('Task Inbox'!J$6:J$205,MATCH(ROWS($A$5:A28),'Task Inbox'!$R$6:$R$205,0)),"")</x:f>
      </x:c>
      <x:c r="I28" s="27" t="str">
        <x:f>IFERROR(INDEX('Task Inbox'!K$6:K$205,MATCH(ROWS($A$5:A28),'Task Inbox'!$R$6:$R$205,0)),"")</x:f>
      </x:c>
      <x:c r="J28" s="27" t="str">
        <x:f>IFERROR(INDEX('Task Inbox'!N$6:N$205,MATCH(ROWS($A$5:A28),'Task Inbox'!$R$6:$R$205,0)),"")</x:f>
      </x:c>
      <x:c r="K28" s="27" t="str">
        <x:f>IF($A28="","",IF($F28="Blocked","Blocked",IF($F28="Waiting on Others","Waiting",IF($G28&lt;TODAY(),"Overdue",IF($G28&lt;=TODAY()+1,"Due Soon","Priority")))))</x:f>
      </x:c>
    </x:row>
    <x:row r="29">
      <x:c r="A29" s="27" t="str">
        <x:f>IFERROR(INDEX('Task Inbox'!A$6:A$205,MATCH(ROWS($A$5:A29),'Task Inbox'!$R$6:$R$205,0)),"")</x:f>
      </x:c>
      <x:c r="B29" s="27" t="str">
        <x:f>IFERROR(INDEX('Task Inbox'!B$6:B$205,MATCH(ROWS($A$5:A29),'Task Inbox'!$R$6:$R$205,0)),"")</x:f>
      </x:c>
      <x:c r="C29" s="27" t="str">
        <x:f>IFERROR(INDEX('Task Inbox'!D$6:D$205,MATCH(ROWS($A$5:A29),'Task Inbox'!$R$6:$R$205,0)),"")</x:f>
      </x:c>
      <x:c r="D29" s="27" t="str">
        <x:f>IFERROR(INDEX('Task Inbox'!E$6:E$205,MATCH(ROWS($A$5:A29),'Task Inbox'!$R$6:$R$205,0)),"")</x:f>
      </x:c>
      <x:c r="E29" s="27" t="str">
        <x:f>IFERROR(INDEX('Task Inbox'!F$6:F$205,MATCH(ROWS($A$5:A29),'Task Inbox'!$R$6:$R$205,0)),"")</x:f>
      </x:c>
      <x:c r="F29" s="27" t="str">
        <x:f>IFERROR(INDEX('Task Inbox'!G$6:G$205,MATCH(ROWS($A$5:A29),'Task Inbox'!$R$6:$R$205,0)),"")</x:f>
      </x:c>
      <x:c r="G29" s="28" t="str">
        <x:f>IFERROR(INDEX('Task Inbox'!H$6:H$205,MATCH(ROWS($A$5:A29),'Task Inbox'!$R$6:$R$205,0)),"")</x:f>
      </x:c>
      <x:c r="H29" s="30" t="str">
        <x:f>IFERROR(INDEX('Task Inbox'!J$6:J$205,MATCH(ROWS($A$5:A29),'Task Inbox'!$R$6:$R$205,0)),"")</x:f>
      </x:c>
      <x:c r="I29" s="27" t="str">
        <x:f>IFERROR(INDEX('Task Inbox'!K$6:K$205,MATCH(ROWS($A$5:A29),'Task Inbox'!$R$6:$R$205,0)),"")</x:f>
      </x:c>
      <x:c r="J29" s="27" t="str">
        <x:f>IFERROR(INDEX('Task Inbox'!N$6:N$205,MATCH(ROWS($A$5:A29),'Task Inbox'!$R$6:$R$205,0)),"")</x:f>
      </x:c>
      <x:c r="K29" s="27" t="str">
        <x:f>IF($A29="","",IF($F29="Blocked","Blocked",IF($F29="Waiting on Others","Waiting",IF($G29&lt;TODAY(),"Overdue",IF($G29&lt;=TODAY()+1,"Due Soon","Priority")))))</x:f>
      </x:c>
    </x:row>
    <x:row r="30">
      <x:c r="A30" s="27" t="str">
        <x:f>IFERROR(INDEX('Task Inbox'!A$6:A$205,MATCH(ROWS($A$5:A30),'Task Inbox'!$R$6:$R$205,0)),"")</x:f>
      </x:c>
      <x:c r="B30" s="27" t="str">
        <x:f>IFERROR(INDEX('Task Inbox'!B$6:B$205,MATCH(ROWS($A$5:A30),'Task Inbox'!$R$6:$R$205,0)),"")</x:f>
      </x:c>
      <x:c r="C30" s="27" t="str">
        <x:f>IFERROR(INDEX('Task Inbox'!D$6:D$205,MATCH(ROWS($A$5:A30),'Task Inbox'!$R$6:$R$205,0)),"")</x:f>
      </x:c>
      <x:c r="D30" s="27" t="str">
        <x:f>IFERROR(INDEX('Task Inbox'!E$6:E$205,MATCH(ROWS($A$5:A30),'Task Inbox'!$R$6:$R$205,0)),"")</x:f>
      </x:c>
      <x:c r="E30" s="27" t="str">
        <x:f>IFERROR(INDEX('Task Inbox'!F$6:F$205,MATCH(ROWS($A$5:A30),'Task Inbox'!$R$6:$R$205,0)),"")</x:f>
      </x:c>
      <x:c r="F30" s="27" t="str">
        <x:f>IFERROR(INDEX('Task Inbox'!G$6:G$205,MATCH(ROWS($A$5:A30),'Task Inbox'!$R$6:$R$205,0)),"")</x:f>
      </x:c>
      <x:c r="G30" s="28" t="str">
        <x:f>IFERROR(INDEX('Task Inbox'!H$6:H$205,MATCH(ROWS($A$5:A30),'Task Inbox'!$R$6:$R$205,0)),"")</x:f>
      </x:c>
      <x:c r="H30" s="30" t="str">
        <x:f>IFERROR(INDEX('Task Inbox'!J$6:J$205,MATCH(ROWS($A$5:A30),'Task Inbox'!$R$6:$R$205,0)),"")</x:f>
      </x:c>
      <x:c r="I30" s="27" t="str">
        <x:f>IFERROR(INDEX('Task Inbox'!K$6:K$205,MATCH(ROWS($A$5:A30),'Task Inbox'!$R$6:$R$205,0)),"")</x:f>
      </x:c>
      <x:c r="J30" s="27" t="str">
        <x:f>IFERROR(INDEX('Task Inbox'!N$6:N$205,MATCH(ROWS($A$5:A30),'Task Inbox'!$R$6:$R$205,0)),"")</x:f>
      </x:c>
      <x:c r="K30" s="27" t="str">
        <x:f>IF($A30="","",IF($F30="Blocked","Blocked",IF($F30="Waiting on Others","Waiting",IF($G30&lt;TODAY(),"Overdue",IF($G30&lt;=TODAY()+1,"Due Soon","Priority")))))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5.5600004196167" hidden="0" customWidth="1"/>
    <x:col min="3" max="3" width="16.670000076293945" hidden="0" customWidth="1"/>
    <x:col min="4" max="4" width="10.5600004196167" hidden="0" customWidth="1"/>
    <x:col min="5" max="5" width="9.4399995803833" hidden="0" customWidth="1"/>
    <x:col min="6" max="6" width="9.4399995803833" hidden="0" customWidth="1"/>
    <x:col min="7" max="7" width="9.4399995803833" hidden="0" customWidth="1"/>
    <x:col min="8" max="8" width="9.4399995803833" hidden="0" customWidth="1"/>
    <x:col min="9" max="9" width="11.109999656677246" hidden="0" customWidth="1"/>
  </x:cols>
  <x:sheetData>
    <x:row r="1" ht="31.5" customHeight="1">
      <x:c r="A1" s="2" t="str">
        <x:v>Projects</x:v>
      </x:c>
      <x:c r="B1" s="21"/>
      <x:c r="C1" s="21"/>
      <x:c r="D1" s="21"/>
      <x:c r="E1" s="21"/>
      <x:c r="F1" s="21"/>
      <x:c r="G1" s="21"/>
      <x:c r="H1" s="21"/>
      <x:c r="I1" s="21"/>
      <x:c r="J1" s="23"/>
    </x:row>
    <x:row r="2">
      <x:c r="A2" s="22" t="str">
        <x:v>Read-only project summary. Maintain project names and owners in Settings; task metrics come from Task Inbox.</x:v>
      </x:c>
      <x:c r="B2" s="23"/>
      <x:c r="C2" s="23"/>
      <x:c r="D2" s="23"/>
      <x:c r="E2" s="23"/>
      <x:c r="F2" s="23"/>
      <x:c r="G2" s="23"/>
      <x:c r="H2" s="23"/>
      <x:c r="I2" s="23"/>
      <x:c r="J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</x:row>
    <x:row r="5">
      <x:c r="A5" s="26" t="str">
        <x:v>Project</x:v>
      </x:c>
      <x:c r="B5" s="26" t="str">
        <x:v>Project Owner</x:v>
      </x:c>
      <x:c r="C5" s="26" t="str">
        <x:v>Status</x:v>
      </x:c>
      <x:c r="D5" s="26" t="str">
        <x:v>Total Tasks</x:v>
      </x:c>
      <x:c r="E5" s="26" t="str">
        <x:v>Open</x:v>
      </x:c>
      <x:c r="F5" s="26" t="str">
        <x:v>Overdue</x:v>
      </x:c>
      <x:c r="G5" s="26" t="str">
        <x:v>Blocked</x:v>
      </x:c>
      <x:c r="H5" s="26" t="str">
        <x:v>Waiting</x:v>
      </x:c>
      <x:c r="I5" s="26" t="str">
        <x:v>Completion</x:v>
      </x:c>
      <x:c r="J5" s="26"/>
    </x:row>
    <x:row r="6">
      <x:c r="A6" s="27" t="str">
        <x:f>IF(Settings!F5="","",Settings!F5)</x:f>
        <x:v>Weekly Ops</x:v>
      </x:c>
      <x:c r="B6" s="27" t="str">
        <x:f>IF(Settings!G5="","",Settings!G5)</x:f>
        <x:v>Me</x:v>
      </x:c>
      <x:c r="C6" s="27" t="str">
        <x:f>IF($A6="","",IF(G6&gt;0,"Blocked",IF(H6&gt;0,"Waiting on Others",IF(E6&gt;0,"In Progress",IF(D6&gt;0,"Done","Not Started")))))</x:f>
        <x:v>Not Started</x:v>
      </x:c>
      <x:c r="D6" s="27" t="n">
        <x:f>IF($A6="","",COUNTIFS('Task Inbox'!$D$6:$D$205,$A6,'Task Inbox'!$B$6:$B$205,"&lt;&gt;"))</x:f>
        <x:v>0</x:v>
      </x:c>
      <x:c r="E6" s="27" t="n">
        <x:f>IF($A6="","",COUNTIFS('Task Inbox'!$D$6:$D$205,$A6,'Task Inbox'!$G$6:$G$205,"&lt;&gt;Done",'Task Inbox'!$G$6:$G$205,"&lt;&gt;Canceled",'Task Inbox'!$B$6:$B$205,"&lt;&gt;"))</x:f>
        <x:v>0</x:v>
      </x:c>
      <x:c r="F6" s="27" t="n">
        <x:f>IF($A6="","",COUNTIFS('Task Inbox'!$D$6:$D$205,$A6,'Task Inbox'!$G$6:$G$205,"&lt;&gt;Done",'Task Inbox'!$G$6:$G$205,"&lt;&gt;Canceled",'Task Inbox'!$H$6:$H$205,"&lt;"&amp;TODAY(),'Task Inbox'!$B$6:$B$205,"&lt;&gt;"))</x:f>
        <x:v>0</x:v>
      </x:c>
      <x:c r="G6" s="27" t="n">
        <x:f>IF($A6="","",COUNTIFS('Task Inbox'!$D$6:$D$205,$A6,'Task Inbox'!$G$6:$G$205,"Blocked",'Task Inbox'!$B$6:$B$205,"&lt;&gt;"))</x:f>
        <x:v>0</x:v>
      </x:c>
      <x:c r="H6" s="27" t="n">
        <x:f>IF($A6="","",COUNTIFS('Task Inbox'!$D$6:$D$205,$A6,'Task Inbox'!$G$6:$G$205,"Waiting on Others",'Task Inbox'!$B$6:$B$205,"&lt;&gt;"))</x:f>
        <x:v>0</x:v>
      </x:c>
      <x:c r="I6" s="30" t="n">
        <x:f>IF($A6="","",IFERROR(COUNTIFS('Task Inbox'!$D$6:$D$205,$A6,'Task Inbox'!$G$6:$G$205,"Done")/D6,0))</x:f>
        <x:v>0</x:v>
      </x:c>
      <x:c r="J6" s="23"/>
    </x:row>
    <x:row r="7">
      <x:c r="A7" s="27" t="str">
        <x:f>IF(Settings!F6="","",Settings!F6)</x:f>
        <x:v>Customer Delivery</x:v>
      </x:c>
      <x:c r="B7" s="27" t="str">
        <x:f>IF(Settings!G6="","",Settings!G6)</x:f>
        <x:v>Alice</x:v>
      </x:c>
      <x:c r="C7" s="27" t="str">
        <x:f>IF($A7="","",IF(G7&gt;0,"Blocked",IF(H7&gt;0,"Waiting on Others",IF(E7&gt;0,"In Progress",IF(D7&gt;0,"Done","Not Started")))))</x:f>
        <x:v>Waiting on Others</x:v>
      </x:c>
      <x:c r="D7" s="27" t="n">
        <x:f>IF($A7="","",COUNTIFS('Task Inbox'!$D$6:$D$205,$A7,'Task Inbox'!$B$6:$B$205,"&lt;&gt;"))</x:f>
        <x:v>1</x:v>
      </x:c>
      <x:c r="E7" s="27" t="n">
        <x:f>IF($A7="","",COUNTIFS('Task Inbox'!$D$6:$D$205,$A7,'Task Inbox'!$G$6:$G$205,"&lt;&gt;Done",'Task Inbox'!$G$6:$G$205,"&lt;&gt;Canceled",'Task Inbox'!$B$6:$B$205,"&lt;&gt;"))</x:f>
        <x:v>1</x:v>
      </x:c>
      <x:c r="F7" s="27" t="n">
        <x:f>IF($A7="","",COUNTIFS('Task Inbox'!$D$6:$D$205,$A7,'Task Inbox'!$G$6:$G$205,"&lt;&gt;Done",'Task Inbox'!$G$6:$G$205,"&lt;&gt;Canceled",'Task Inbox'!$H$6:$H$205,"&lt;"&amp;TODAY(),'Task Inbox'!$B$6:$B$205,"&lt;&gt;"))</x:f>
        <x:v>0</x:v>
      </x:c>
      <x:c r="G7" s="27" t="n">
        <x:f>IF($A7="","",COUNTIFS('Task Inbox'!$D$6:$D$205,$A7,'Task Inbox'!$G$6:$G$205,"Blocked",'Task Inbox'!$B$6:$B$205,"&lt;&gt;"))</x:f>
        <x:v>0</x:v>
      </x:c>
      <x:c r="H7" s="27" t="n">
        <x:f>IF($A7="","",COUNTIFS('Task Inbox'!$D$6:$D$205,$A7,'Task Inbox'!$G$6:$G$205,"Waiting on Others",'Task Inbox'!$B$6:$B$205,"&lt;&gt;"))</x:f>
        <x:v>1</x:v>
      </x:c>
      <x:c r="I7" s="30" t="n">
        <x:f>IF($A7="","",IFERROR(COUNTIFS('Task Inbox'!$D$6:$D$205,$A7,'Task Inbox'!$G$6:$G$205,"Done")/D7,0))</x:f>
        <x:v>0</x:v>
      </x:c>
      <x:c r="J7" s="23"/>
    </x:row>
    <x:row r="8">
      <x:c r="A8" s="27" t="str">
        <x:f>IF(Settings!F7="","",Settings!F7)</x:f>
        <x:v>Product Improvements</x:v>
      </x:c>
      <x:c r="B8" s="27" t="str">
        <x:f>IF(Settings!G7="","",Settings!G7)</x:f>
        <x:v>Ben</x:v>
      </x:c>
      <x:c r="C8" s="27" t="str">
        <x:f>IF($A8="","",IF(G8&gt;0,"Blocked",IF(H8&gt;0,"Waiting on Others",IF(E8&gt;0,"In Progress",IF(D8&gt;0,"Done","Not Started")))))</x:f>
        <x:v>Done</x:v>
      </x:c>
      <x:c r="D8" s="27" t="n">
        <x:f>IF($A8="","",COUNTIFS('Task Inbox'!$D$6:$D$205,$A8,'Task Inbox'!$B$6:$B$205,"&lt;&gt;"))</x:f>
        <x:v>1</x:v>
      </x:c>
      <x:c r="E8" s="27" t="n">
        <x:f>IF($A8="","",COUNTIFS('Task Inbox'!$D$6:$D$205,$A8,'Task Inbox'!$G$6:$G$205,"&lt;&gt;Done",'Task Inbox'!$G$6:$G$205,"&lt;&gt;Canceled",'Task Inbox'!$B$6:$B$205,"&lt;&gt;"))</x:f>
        <x:v>0</x:v>
      </x:c>
      <x:c r="F8" s="27" t="n">
        <x:f>IF($A8="","",COUNTIFS('Task Inbox'!$D$6:$D$205,$A8,'Task Inbox'!$G$6:$G$205,"&lt;&gt;Done",'Task Inbox'!$G$6:$G$205,"&lt;&gt;Canceled",'Task Inbox'!$H$6:$H$205,"&lt;"&amp;TODAY(),'Task Inbox'!$B$6:$B$205,"&lt;&gt;"))</x:f>
        <x:v>0</x:v>
      </x:c>
      <x:c r="G8" s="27" t="n">
        <x:f>IF($A8="","",COUNTIFS('Task Inbox'!$D$6:$D$205,$A8,'Task Inbox'!$G$6:$G$205,"Blocked",'Task Inbox'!$B$6:$B$205,"&lt;&gt;"))</x:f>
        <x:v>0</x:v>
      </x:c>
      <x:c r="H8" s="27" t="n">
        <x:f>IF($A8="","",COUNTIFS('Task Inbox'!$D$6:$D$205,$A8,'Task Inbox'!$G$6:$G$205,"Waiting on Others",'Task Inbox'!$B$6:$B$205,"&lt;&gt;"))</x:f>
        <x:v>0</x:v>
      </x:c>
      <x:c r="I8" s="30" t="n">
        <x:f>IF($A8="","",IFERROR(COUNTIFS('Task Inbox'!$D$6:$D$205,$A8,'Task Inbox'!$G$6:$G$205,"Done")/D8,0))</x:f>
        <x:v>1</x:v>
      </x:c>
      <x:c r="J8" s="23"/>
    </x:row>
    <x:row r="9">
      <x:c r="A9" s="27" t="str">
        <x:f>IF(Settings!F8="","",Settings!F8)</x:f>
        <x:v>Team Management</x:v>
      </x:c>
      <x:c r="B9" s="27" t="str">
        <x:f>IF(Settings!G8="","",Settings!G8)</x:f>
        <x:v>Me</x:v>
      </x:c>
      <x:c r="C9" s="27" t="str">
        <x:f>IF($A9="","",IF(G9&gt;0,"Blocked",IF(H9&gt;0,"Waiting on Others",IF(E9&gt;0,"In Progress",IF(D9&gt;0,"Done","Not Started")))))</x:f>
        <x:v>In Progress</x:v>
      </x:c>
      <x:c r="D9" s="27" t="n">
        <x:f>IF($A9="","",COUNTIFS('Task Inbox'!$D$6:$D$205,$A9,'Task Inbox'!$B$6:$B$205,"&lt;&gt;"))</x:f>
        <x:v>1</x:v>
      </x:c>
      <x:c r="E9" s="27" t="n">
        <x:f>IF($A9="","",COUNTIFS('Task Inbox'!$D$6:$D$205,$A9,'Task Inbox'!$G$6:$G$205,"&lt;&gt;Done",'Task Inbox'!$G$6:$G$205,"&lt;&gt;Canceled",'Task Inbox'!$B$6:$B$205,"&lt;&gt;"))</x:f>
        <x:v>1</x:v>
      </x:c>
      <x:c r="F9" s="27" t="n">
        <x:f>IF($A9="","",COUNTIFS('Task Inbox'!$D$6:$D$205,$A9,'Task Inbox'!$G$6:$G$205,"&lt;&gt;Done",'Task Inbox'!$G$6:$G$205,"&lt;&gt;Canceled",'Task Inbox'!$H$6:$H$205,"&lt;"&amp;TODAY(),'Task Inbox'!$B$6:$B$205,"&lt;&gt;"))</x:f>
        <x:v>0</x:v>
      </x:c>
      <x:c r="G9" s="27" t="n">
        <x:f>IF($A9="","",COUNTIFS('Task Inbox'!$D$6:$D$205,$A9,'Task Inbox'!$G$6:$G$205,"Blocked",'Task Inbox'!$B$6:$B$205,"&lt;&gt;"))</x:f>
        <x:v>0</x:v>
      </x:c>
      <x:c r="H9" s="27" t="n">
        <x:f>IF($A9="","",COUNTIFS('Task Inbox'!$D$6:$D$205,$A9,'Task Inbox'!$G$6:$G$205,"Waiting on Others",'Task Inbox'!$B$6:$B$205,"&lt;&gt;"))</x:f>
        <x:v>0</x:v>
      </x:c>
      <x:c r="I9" s="30" t="n">
        <x:f>IF($A9="","",IFERROR(COUNTIFS('Task Inbox'!$D$6:$D$205,$A9,'Task Inbox'!$G$6:$G$205,"Done")/D9,0))</x:f>
        <x:v>0</x:v>
      </x:c>
      <x:c r="J9" s="23"/>
    </x:row>
    <x:row r="10">
      <x:c r="A10" s="27" t="str">
        <x:f>IF(Settings!F9="","",Settings!F9)</x:f>
        <x:v>Hiring</x:v>
      </x:c>
      <x:c r="B10" s="27" t="str">
        <x:f>IF(Settings!G9="","",Settings!G9)</x:f>
        <x:v>HR</x:v>
      </x:c>
      <x:c r="C10" s="27" t="str">
        <x:f>IF($A10="","",IF(G10&gt;0,"Blocked",IF(H10&gt;0,"Waiting on Others",IF(E10&gt;0,"In Progress",IF(D10&gt;0,"Done","Not Started")))))</x:f>
        <x:v>Blocked</x:v>
      </x:c>
      <x:c r="D10" s="27" t="n">
        <x:f>IF($A10="","",COUNTIFS('Task Inbox'!$D$6:$D$205,$A10,'Task Inbox'!$B$6:$B$205,"&lt;&gt;"))</x:f>
        <x:v>1</x:v>
      </x:c>
      <x:c r="E10" s="27" t="n">
        <x:f>IF($A10="","",COUNTIFS('Task Inbox'!$D$6:$D$205,$A10,'Task Inbox'!$G$6:$G$205,"&lt;&gt;Done",'Task Inbox'!$G$6:$G$205,"&lt;&gt;Canceled",'Task Inbox'!$B$6:$B$205,"&lt;&gt;"))</x:f>
        <x:v>1</x:v>
      </x:c>
      <x:c r="F10" s="27" t="n">
        <x:f>IF($A10="","",COUNTIFS('Task Inbox'!$D$6:$D$205,$A10,'Task Inbox'!$G$6:$G$205,"&lt;&gt;Done",'Task Inbox'!$G$6:$G$205,"&lt;&gt;Canceled",'Task Inbox'!$H$6:$H$205,"&lt;"&amp;TODAY(),'Task Inbox'!$B$6:$B$205,"&lt;&gt;"))</x:f>
        <x:v>1</x:v>
      </x:c>
      <x:c r="G10" s="27" t="n">
        <x:f>IF($A10="","",COUNTIFS('Task Inbox'!$D$6:$D$205,$A10,'Task Inbox'!$G$6:$G$205,"Blocked",'Task Inbox'!$B$6:$B$205,"&lt;&gt;"))</x:f>
        <x:v>1</x:v>
      </x:c>
      <x:c r="H10" s="27" t="n">
        <x:f>IF($A10="","",COUNTIFS('Task Inbox'!$D$6:$D$205,$A10,'Task Inbox'!$G$6:$G$205,"Waiting on Others",'Task Inbox'!$B$6:$B$205,"&lt;&gt;"))</x:f>
        <x:v>0</x:v>
      </x:c>
      <x:c r="I10" s="30" t="n">
        <x:f>IF($A10="","",IFERROR(COUNTIFS('Task Inbox'!$D$6:$D$205,$A10,'Task Inbox'!$G$6:$G$205,"Done")/D10,0))</x:f>
        <x:v>0</x:v>
      </x:c>
      <x:c r="J10" s="23"/>
    </x:row>
    <x:row r="11">
      <x:c r="A11" s="27" t="str">
        <x:f>IF(Settings!F10="","",Settings!F10)</x:f>
        <x:v>Budget Planning</x:v>
      </x:c>
      <x:c r="B11" s="27" t="str">
        <x:f>IF(Settings!G10="","",Settings!G10)</x:f>
        <x:v>Finance</x:v>
      </x:c>
      <x:c r="C11" s="27" t="str">
        <x:f>IF($A11="","",IF(G11&gt;0,"Blocked",IF(H11&gt;0,"Waiting on Others",IF(E11&gt;0,"In Progress",IF(D11&gt;0,"Done","Not Started")))))</x:f>
        <x:v>In Progress</x:v>
      </x:c>
      <x:c r="D11" s="27" t="n">
        <x:f>IF($A11="","",COUNTIFS('Task Inbox'!$D$6:$D$205,$A11,'Task Inbox'!$B$6:$B$205,"&lt;&gt;"))</x:f>
        <x:v>1</x:v>
      </x:c>
      <x:c r="E11" s="27" t="n">
        <x:f>IF($A11="","",COUNTIFS('Task Inbox'!$D$6:$D$205,$A11,'Task Inbox'!$G$6:$G$205,"&lt;&gt;Done",'Task Inbox'!$G$6:$G$205,"&lt;&gt;Canceled",'Task Inbox'!$B$6:$B$205,"&lt;&gt;"))</x:f>
        <x:v>1</x:v>
      </x:c>
      <x:c r="F11" s="27" t="n">
        <x:f>IF($A11="","",COUNTIFS('Task Inbox'!$D$6:$D$205,$A11,'Task Inbox'!$G$6:$G$205,"&lt;&gt;Done",'Task Inbox'!$G$6:$G$205,"&lt;&gt;Canceled",'Task Inbox'!$H$6:$H$205,"&lt;"&amp;TODAY(),'Task Inbox'!$B$6:$B$205,"&lt;&gt;"))</x:f>
        <x:v>0</x:v>
      </x:c>
      <x:c r="G11" s="27" t="n">
        <x:f>IF($A11="","",COUNTIFS('Task Inbox'!$D$6:$D$205,$A11,'Task Inbox'!$G$6:$G$205,"Blocked",'Task Inbox'!$B$6:$B$205,"&lt;&gt;"))</x:f>
        <x:v>0</x:v>
      </x:c>
      <x:c r="H11" s="27" t="n">
        <x:f>IF($A11="","",COUNTIFS('Task Inbox'!$D$6:$D$205,$A11,'Task Inbox'!$G$6:$G$205,"Waiting on Others",'Task Inbox'!$B$6:$B$205,"&lt;&gt;"))</x:f>
        <x:v>0</x:v>
      </x:c>
      <x:c r="I11" s="30" t="n">
        <x:f>IF($A11="","",IFERROR(COUNTIFS('Task Inbox'!$D$6:$D$205,$A11,'Task Inbox'!$G$6:$G$205,"Done")/D11,0))</x:f>
        <x:v>0</x:v>
      </x:c>
      <x:c r="J11" s="23"/>
    </x:row>
    <x:row r="12">
      <x:c r="A12" s="27" t="str">
        <x:f>IF(Settings!F11="","",Settings!F11)</x:f>
        <x:v>Process Optimization</x:v>
      </x:c>
      <x:c r="B12" s="27" t="str">
        <x:f>IF(Settings!G11="","",Settings!G11)</x:f>
        <x:v>Product</x:v>
      </x:c>
      <x:c r="C12" s="27" t="str">
        <x:f>IF($A12="","",IF(G12&gt;0,"Blocked",IF(H12&gt;0,"Waiting on Others",IF(E12&gt;0,"In Progress",IF(D12&gt;0,"Done","Not Started")))))</x:f>
        <x:v>In Progress</x:v>
      </x:c>
      <x:c r="D12" s="27" t="n">
        <x:f>IF($A12="","",COUNTIFS('Task Inbox'!$D$6:$D$205,$A12,'Task Inbox'!$B$6:$B$205,"&lt;&gt;"))</x:f>
        <x:v>1</x:v>
      </x:c>
      <x:c r="E12" s="27" t="n">
        <x:f>IF($A12="","",COUNTIFS('Task Inbox'!$D$6:$D$205,$A12,'Task Inbox'!$G$6:$G$205,"&lt;&gt;Done",'Task Inbox'!$G$6:$G$205,"&lt;&gt;Canceled",'Task Inbox'!$B$6:$B$205,"&lt;&gt;"))</x:f>
        <x:v>1</x:v>
      </x:c>
      <x:c r="F12" s="27" t="n">
        <x:f>IF($A12="","",COUNTIFS('Task Inbox'!$D$6:$D$205,$A12,'Task Inbox'!$G$6:$G$205,"&lt;&gt;Done",'Task Inbox'!$G$6:$G$205,"&lt;&gt;Canceled",'Task Inbox'!$H$6:$H$205,"&lt;"&amp;TODAY(),'Task Inbox'!$B$6:$B$205,"&lt;&gt;"))</x:f>
        <x:v>0</x:v>
      </x:c>
      <x:c r="G12" s="27" t="n">
        <x:f>IF($A12="","",COUNTIFS('Task Inbox'!$D$6:$D$205,$A12,'Task Inbox'!$G$6:$G$205,"Blocked",'Task Inbox'!$B$6:$B$205,"&lt;&gt;"))</x:f>
        <x:v>0</x:v>
      </x:c>
      <x:c r="H12" s="27" t="n">
        <x:f>IF($A12="","",COUNTIFS('Task Inbox'!$D$6:$D$205,$A12,'Task Inbox'!$G$6:$G$205,"Waiting on Others",'Task Inbox'!$B$6:$B$205,"&lt;&gt;"))</x:f>
        <x:v>0</x:v>
      </x:c>
      <x:c r="I12" s="30" t="n">
        <x:f>IF($A12="","",IFERROR(COUNTIFS('Task Inbox'!$D$6:$D$205,$A12,'Task Inbox'!$G$6:$G$205,"Done")/D12,0))</x:f>
        <x:v>0</x:v>
      </x:c>
      <x:c r="J12" s="23"/>
    </x:row>
    <x:row r="13">
      <x:c r="A13" s="27" t="str">
        <x:f>IF(Settings!F12="","",Settings!F12)</x:f>
        <x:v>Personal Management</x:v>
      </x:c>
      <x:c r="B13" s="27" t="str">
        <x:f>IF(Settings!G12="","",Settings!G12)</x:f>
        <x:v>Me</x:v>
      </x:c>
      <x:c r="C13" s="27" t="str">
        <x:f>IF($A13="","",IF(G13&gt;0,"Blocked",IF(H13&gt;0,"Waiting on Others",IF(E13&gt;0,"In Progress",IF(D13&gt;0,"Done","Not Started")))))</x:f>
        <x:v>Not Started</x:v>
      </x:c>
      <x:c r="D13" s="27" t="n">
        <x:f>IF($A13="","",COUNTIFS('Task Inbox'!$D$6:$D$205,$A13,'Task Inbox'!$B$6:$B$205,"&lt;&gt;"))</x:f>
        <x:v>0</x:v>
      </x:c>
      <x:c r="E13" s="27" t="n">
        <x:f>IF($A13="","",COUNTIFS('Task Inbox'!$D$6:$D$205,$A13,'Task Inbox'!$G$6:$G$205,"&lt;&gt;Done",'Task Inbox'!$G$6:$G$205,"&lt;&gt;Canceled",'Task Inbox'!$B$6:$B$205,"&lt;&gt;"))</x:f>
        <x:v>0</x:v>
      </x:c>
      <x:c r="F13" s="27" t="n">
        <x:f>IF($A13="","",COUNTIFS('Task Inbox'!$D$6:$D$205,$A13,'Task Inbox'!$G$6:$G$205,"&lt;&gt;Done",'Task Inbox'!$G$6:$G$205,"&lt;&gt;Canceled",'Task Inbox'!$H$6:$H$205,"&lt;"&amp;TODAY(),'Task Inbox'!$B$6:$B$205,"&lt;&gt;"))</x:f>
        <x:v>0</x:v>
      </x:c>
      <x:c r="G13" s="27" t="n">
        <x:f>IF($A13="","",COUNTIFS('Task Inbox'!$D$6:$D$205,$A13,'Task Inbox'!$G$6:$G$205,"Blocked",'Task Inbox'!$B$6:$B$205,"&lt;&gt;"))</x:f>
        <x:v>0</x:v>
      </x:c>
      <x:c r="H13" s="27" t="n">
        <x:f>IF($A13="","",COUNTIFS('Task Inbox'!$D$6:$D$205,$A13,'Task Inbox'!$G$6:$G$205,"Waiting on Others",'Task Inbox'!$B$6:$B$205,"&lt;&gt;"))</x:f>
        <x:v>0</x:v>
      </x:c>
      <x:c r="I13" s="30" t="n">
        <x:f>IF($A13="","",IFERROR(COUNTIFS('Task Inbox'!$D$6:$D$205,$A13,'Task Inbox'!$G$6:$G$205,"Done")/D13,0))</x:f>
        <x:v>0</x:v>
      </x:c>
      <x:c r="J13" s="23"/>
    </x:row>
    <x:row r="14">
      <x:c r="A14" s="27" t="str">
        <x:f>IF(Settings!F13="","",Settings!F13)</x:f>
        <x:v>Cross-functional</x:v>
      </x:c>
      <x:c r="B14" s="27" t="str">
        <x:f>IF(Settings!G13="","",Settings!G13)</x:f>
        <x:v>Me</x:v>
      </x:c>
      <x:c r="C14" s="27" t="str">
        <x:f>IF($A14="","",IF(G14&gt;0,"Blocked",IF(H14&gt;0,"Waiting on Others",IF(E14&gt;0,"In Progress",IF(D14&gt;0,"Done","Not Started")))))</x:f>
        <x:v>Not Started</x:v>
      </x:c>
      <x:c r="D14" s="27" t="n">
        <x:f>IF($A14="","",COUNTIFS('Task Inbox'!$D$6:$D$205,$A14,'Task Inbox'!$B$6:$B$205,"&lt;&gt;"))</x:f>
        <x:v>0</x:v>
      </x:c>
      <x:c r="E14" s="27" t="n">
        <x:f>IF($A14="","",COUNTIFS('Task Inbox'!$D$6:$D$205,$A14,'Task Inbox'!$G$6:$G$205,"&lt;&gt;Done",'Task Inbox'!$G$6:$G$205,"&lt;&gt;Canceled",'Task Inbox'!$B$6:$B$205,"&lt;&gt;"))</x:f>
        <x:v>0</x:v>
      </x:c>
      <x:c r="F14" s="27" t="n">
        <x:f>IF($A14="","",COUNTIFS('Task Inbox'!$D$6:$D$205,$A14,'Task Inbox'!$G$6:$G$205,"&lt;&gt;Done",'Task Inbox'!$G$6:$G$205,"&lt;&gt;Canceled",'Task Inbox'!$H$6:$H$205,"&lt;"&amp;TODAY(),'Task Inbox'!$B$6:$B$205,"&lt;&gt;"))</x:f>
        <x:v>0</x:v>
      </x:c>
      <x:c r="G14" s="27" t="n">
        <x:f>IF($A14="","",COUNTIFS('Task Inbox'!$D$6:$D$205,$A14,'Task Inbox'!$G$6:$G$205,"Blocked",'Task Inbox'!$B$6:$B$205,"&lt;&gt;"))</x:f>
        <x:v>0</x:v>
      </x:c>
      <x:c r="H14" s="27" t="n">
        <x:f>IF($A14="","",COUNTIFS('Task Inbox'!$D$6:$D$205,$A14,'Task Inbox'!$G$6:$G$205,"Waiting on Others",'Task Inbox'!$B$6:$B$205,"&lt;&gt;"))</x:f>
        <x:v>0</x:v>
      </x:c>
      <x:c r="I14" s="30" t="n">
        <x:f>IF($A14="","",IFERROR(COUNTIFS('Task Inbox'!$D$6:$D$205,$A14,'Task Inbox'!$G$6:$G$205,"Done")/D14,0))</x:f>
        <x:v>0</x:v>
      </x:c>
      <x:c r="J14" s="23"/>
    </x:row>
    <x:row r="15">
      <x:c r="A15" s="27" t="str">
        <x:f>IF(Settings!F14="","",Settings!F14)</x:f>
        <x:v>Risk Handling</x:v>
      </x:c>
      <x:c r="B15" s="27" t="str">
        <x:f>IF(Settings!G14="","",Settings!G14)</x:f>
        <x:v>Me</x:v>
      </x:c>
      <x:c r="C15" s="27" t="str">
        <x:f>IF($A15="","",IF(G15&gt;0,"Blocked",IF(H15&gt;0,"Waiting on Others",IF(E15&gt;0,"In Progress",IF(D15&gt;0,"Done","Not Started")))))</x:f>
        <x:v>Not Started</x:v>
      </x:c>
      <x:c r="D15" s="27" t="n">
        <x:f>IF($A15="","",COUNTIFS('Task Inbox'!$D$6:$D$205,$A15,'Task Inbox'!$B$6:$B$205,"&lt;&gt;"))</x:f>
        <x:v>0</x:v>
      </x:c>
      <x:c r="E15" s="27" t="n">
        <x:f>IF($A15="","",COUNTIFS('Task Inbox'!$D$6:$D$205,$A15,'Task Inbox'!$G$6:$G$205,"&lt;&gt;Done",'Task Inbox'!$G$6:$G$205,"&lt;&gt;Canceled",'Task Inbox'!$B$6:$B$205,"&lt;&gt;"))</x:f>
        <x:v>0</x:v>
      </x:c>
      <x:c r="F15" s="27" t="n">
        <x:f>IF($A15="","",COUNTIFS('Task Inbox'!$D$6:$D$205,$A15,'Task Inbox'!$G$6:$G$205,"&lt;&gt;Done",'Task Inbox'!$G$6:$G$205,"&lt;&gt;Canceled",'Task Inbox'!$H$6:$H$205,"&lt;"&amp;TODAY(),'Task Inbox'!$B$6:$B$205,"&lt;&gt;"))</x:f>
        <x:v>0</x:v>
      </x:c>
      <x:c r="G15" s="27" t="n">
        <x:f>IF($A15="","",COUNTIFS('Task Inbox'!$D$6:$D$205,$A15,'Task Inbox'!$G$6:$G$205,"Blocked",'Task Inbox'!$B$6:$B$205,"&lt;&gt;"))</x:f>
        <x:v>0</x:v>
      </x:c>
      <x:c r="H15" s="27" t="n">
        <x:f>IF($A15="","",COUNTIFS('Task Inbox'!$D$6:$D$205,$A15,'Task Inbox'!$G$6:$G$205,"Waiting on Others",'Task Inbox'!$B$6:$B$205,"&lt;&gt;"))</x:f>
        <x:v>0</x:v>
      </x:c>
      <x:c r="I15" s="30" t="n">
        <x:f>IF($A15="","",IFERROR(COUNTIFS('Task Inbox'!$D$6:$D$205,$A15,'Task Inbox'!$G$6:$G$205,"Done")/D15,0))</x:f>
        <x:v>0</x:v>
      </x:c>
      <x:c r="J15" s="23"/>
    </x:row>
    <x:row r="16">
      <x:c r="A16" s="27" t="str">
        <x:f>IF(Settings!F15="","",Settings!F15)</x:f>
      </x:c>
      <x:c r="B16" s="27" t="str">
        <x:f>IF(Settings!G15="","",Settings!G15)</x:f>
      </x:c>
      <x:c r="C16" s="27" t="str">
        <x:f>IF($A16="","",IF(G16&gt;0,"Blocked",IF(H16&gt;0,"Waiting on Others",IF(E16&gt;0,"In Progress",IF(D16&gt;0,"Done","Not Started")))))</x:f>
      </x:c>
      <x:c r="D16" s="27" t="str">
        <x:f>IF($A16="","",COUNTIFS('Task Inbox'!$D$6:$D$205,$A16,'Task Inbox'!$B$6:$B$205,"&lt;&gt;"))</x:f>
      </x:c>
      <x:c r="E16" s="27" t="str">
        <x:f>IF($A16="","",COUNTIFS('Task Inbox'!$D$6:$D$205,$A16,'Task Inbox'!$G$6:$G$205,"&lt;&gt;Done",'Task Inbox'!$G$6:$G$205,"&lt;&gt;Canceled",'Task Inbox'!$B$6:$B$205,"&lt;&gt;"))</x:f>
      </x:c>
      <x:c r="F16" s="27" t="str">
        <x:f>IF($A16="","",COUNTIFS('Task Inbox'!$D$6:$D$205,$A16,'Task Inbox'!$G$6:$G$205,"&lt;&gt;Done",'Task Inbox'!$G$6:$G$205,"&lt;&gt;Canceled",'Task Inbox'!$H$6:$H$205,"&lt;"&amp;TODAY(),'Task Inbox'!$B$6:$B$205,"&lt;&gt;"))</x:f>
      </x:c>
      <x:c r="G16" s="27" t="str">
        <x:f>IF($A16="","",COUNTIFS('Task Inbox'!$D$6:$D$205,$A16,'Task Inbox'!$G$6:$G$205,"Blocked",'Task Inbox'!$B$6:$B$205,"&lt;&gt;"))</x:f>
      </x:c>
      <x:c r="H16" s="27" t="str">
        <x:f>IF($A16="","",COUNTIFS('Task Inbox'!$D$6:$D$205,$A16,'Task Inbox'!$G$6:$G$205,"Waiting on Others",'Task Inbox'!$B$6:$B$205,"&lt;&gt;"))</x:f>
      </x:c>
      <x:c r="I16" s="30" t="str">
        <x:f>IF($A16="","",IFERROR(COUNTIFS('Task Inbox'!$D$6:$D$205,$A16,'Task Inbox'!$G$6:$G$205,"Done")/D16,0))</x:f>
      </x:c>
      <x:c r="J16" s="23"/>
    </x:row>
    <x:row r="17">
      <x:c r="A17" s="27" t="str">
        <x:f>IF(Settings!F16="","",Settings!F16)</x:f>
      </x:c>
      <x:c r="B17" s="27" t="str">
        <x:f>IF(Settings!G16="","",Settings!G16)</x:f>
      </x:c>
      <x:c r="C17" s="27" t="str">
        <x:f>IF($A17="","",IF(G17&gt;0,"Blocked",IF(H17&gt;0,"Waiting on Others",IF(E17&gt;0,"In Progress",IF(D17&gt;0,"Done","Not Started")))))</x:f>
      </x:c>
      <x:c r="D17" s="27" t="str">
        <x:f>IF($A17="","",COUNTIFS('Task Inbox'!$D$6:$D$205,$A17,'Task Inbox'!$B$6:$B$205,"&lt;&gt;"))</x:f>
      </x:c>
      <x:c r="E17" s="27" t="str">
        <x:f>IF($A17="","",COUNTIFS('Task Inbox'!$D$6:$D$205,$A17,'Task Inbox'!$G$6:$G$205,"&lt;&gt;Done",'Task Inbox'!$G$6:$G$205,"&lt;&gt;Canceled",'Task Inbox'!$B$6:$B$205,"&lt;&gt;"))</x:f>
      </x:c>
      <x:c r="F17" s="27" t="str">
        <x:f>IF($A17="","",COUNTIFS('Task Inbox'!$D$6:$D$205,$A17,'Task Inbox'!$G$6:$G$205,"&lt;&gt;Done",'Task Inbox'!$G$6:$G$205,"&lt;&gt;Canceled",'Task Inbox'!$H$6:$H$205,"&lt;"&amp;TODAY(),'Task Inbox'!$B$6:$B$205,"&lt;&gt;"))</x:f>
      </x:c>
      <x:c r="G17" s="27" t="str">
        <x:f>IF($A17="","",COUNTIFS('Task Inbox'!$D$6:$D$205,$A17,'Task Inbox'!$G$6:$G$205,"Blocked",'Task Inbox'!$B$6:$B$205,"&lt;&gt;"))</x:f>
      </x:c>
      <x:c r="H17" s="27" t="str">
        <x:f>IF($A17="","",COUNTIFS('Task Inbox'!$D$6:$D$205,$A17,'Task Inbox'!$G$6:$G$205,"Waiting on Others",'Task Inbox'!$B$6:$B$205,"&lt;&gt;"))</x:f>
      </x:c>
      <x:c r="I17" s="30" t="str">
        <x:f>IF($A17="","",IFERROR(COUNTIFS('Task Inbox'!$D$6:$D$205,$A17,'Task Inbox'!$G$6:$G$205,"Done")/D17,0))</x:f>
      </x:c>
      <x:c r="J17" s="23"/>
    </x:row>
    <x:row r="18">
      <x:c r="A18" s="27" t="str">
        <x:f>IF(Settings!F17="","",Settings!F17)</x:f>
      </x:c>
      <x:c r="B18" s="27" t="str">
        <x:f>IF(Settings!G17="","",Settings!G17)</x:f>
      </x:c>
      <x:c r="C18" s="27" t="str">
        <x:f>IF($A18="","",IF(G18&gt;0,"Blocked",IF(H18&gt;0,"Waiting on Others",IF(E18&gt;0,"In Progress",IF(D18&gt;0,"Done","Not Started")))))</x:f>
      </x:c>
      <x:c r="D18" s="27" t="str">
        <x:f>IF($A18="","",COUNTIFS('Task Inbox'!$D$6:$D$205,$A18,'Task Inbox'!$B$6:$B$205,"&lt;&gt;"))</x:f>
      </x:c>
      <x:c r="E18" s="27" t="str">
        <x:f>IF($A18="","",COUNTIFS('Task Inbox'!$D$6:$D$205,$A18,'Task Inbox'!$G$6:$G$205,"&lt;&gt;Done",'Task Inbox'!$G$6:$G$205,"&lt;&gt;Canceled",'Task Inbox'!$B$6:$B$205,"&lt;&gt;"))</x:f>
      </x:c>
      <x:c r="F18" s="27" t="str">
        <x:f>IF($A18="","",COUNTIFS('Task Inbox'!$D$6:$D$205,$A18,'Task Inbox'!$G$6:$G$205,"&lt;&gt;Done",'Task Inbox'!$G$6:$G$205,"&lt;&gt;Canceled",'Task Inbox'!$H$6:$H$205,"&lt;"&amp;TODAY(),'Task Inbox'!$B$6:$B$205,"&lt;&gt;"))</x:f>
      </x:c>
      <x:c r="G18" s="27" t="str">
        <x:f>IF($A18="","",COUNTIFS('Task Inbox'!$D$6:$D$205,$A18,'Task Inbox'!$G$6:$G$205,"Blocked",'Task Inbox'!$B$6:$B$205,"&lt;&gt;"))</x:f>
      </x:c>
      <x:c r="H18" s="27" t="str">
        <x:f>IF($A18="","",COUNTIFS('Task Inbox'!$D$6:$D$205,$A18,'Task Inbox'!$G$6:$G$205,"Waiting on Others",'Task Inbox'!$B$6:$B$205,"&lt;&gt;"))</x:f>
      </x:c>
      <x:c r="I18" s="30" t="str">
        <x:f>IF($A18="","",IFERROR(COUNTIFS('Task Inbox'!$D$6:$D$205,$A18,'Task Inbox'!$G$6:$G$205,"Done")/D18,0))</x:f>
      </x:c>
      <x:c r="J18" s="23"/>
    </x:row>
    <x:row r="19">
      <x:c r="A19" s="27" t="str">
        <x:f>IF(Settings!F18="","",Settings!F18)</x:f>
      </x:c>
      <x:c r="B19" s="27" t="str">
        <x:f>IF(Settings!G18="","",Settings!G18)</x:f>
      </x:c>
      <x:c r="C19" s="27" t="str">
        <x:f>IF($A19="","",IF(G19&gt;0,"Blocked",IF(H19&gt;0,"Waiting on Others",IF(E19&gt;0,"In Progress",IF(D19&gt;0,"Done","Not Started")))))</x:f>
      </x:c>
      <x:c r="D19" s="27" t="str">
        <x:f>IF($A19="","",COUNTIFS('Task Inbox'!$D$6:$D$205,$A19,'Task Inbox'!$B$6:$B$205,"&lt;&gt;"))</x:f>
      </x:c>
      <x:c r="E19" s="27" t="str">
        <x:f>IF($A19="","",COUNTIFS('Task Inbox'!$D$6:$D$205,$A19,'Task Inbox'!$G$6:$G$205,"&lt;&gt;Done",'Task Inbox'!$G$6:$G$205,"&lt;&gt;Canceled",'Task Inbox'!$B$6:$B$205,"&lt;&gt;"))</x:f>
      </x:c>
      <x:c r="F19" s="27" t="str">
        <x:f>IF($A19="","",COUNTIFS('Task Inbox'!$D$6:$D$205,$A19,'Task Inbox'!$G$6:$G$205,"&lt;&gt;Done",'Task Inbox'!$G$6:$G$205,"&lt;&gt;Canceled",'Task Inbox'!$H$6:$H$205,"&lt;"&amp;TODAY(),'Task Inbox'!$B$6:$B$205,"&lt;&gt;"))</x:f>
      </x:c>
      <x:c r="G19" s="27" t="str">
        <x:f>IF($A19="","",COUNTIFS('Task Inbox'!$D$6:$D$205,$A19,'Task Inbox'!$G$6:$G$205,"Blocked",'Task Inbox'!$B$6:$B$205,"&lt;&gt;"))</x:f>
      </x:c>
      <x:c r="H19" s="27" t="str">
        <x:f>IF($A19="","",COUNTIFS('Task Inbox'!$D$6:$D$205,$A19,'Task Inbox'!$G$6:$G$205,"Waiting on Others",'Task Inbox'!$B$6:$B$205,"&lt;&gt;"))</x:f>
      </x:c>
      <x:c r="I19" s="30" t="str">
        <x:f>IF($A19="","",IFERROR(COUNTIFS('Task Inbox'!$D$6:$D$205,$A19,'Task Inbox'!$G$6:$G$205,"Done")/D19,0))</x:f>
      </x:c>
      <x:c r="J19" s="23"/>
    </x:row>
    <x:row r="20">
      <x:c r="A20" s="27" t="str">
        <x:f>IF(Settings!F19="","",Settings!F19)</x:f>
      </x:c>
      <x:c r="B20" s="27" t="str">
        <x:f>IF(Settings!G19="","",Settings!G19)</x:f>
      </x:c>
      <x:c r="C20" s="27" t="str">
        <x:f>IF($A20="","",IF(G20&gt;0,"Blocked",IF(H20&gt;0,"Waiting on Others",IF(E20&gt;0,"In Progress",IF(D20&gt;0,"Done","Not Started")))))</x:f>
      </x:c>
      <x:c r="D20" s="27" t="str">
        <x:f>IF($A20="","",COUNTIFS('Task Inbox'!$D$6:$D$205,$A20,'Task Inbox'!$B$6:$B$205,"&lt;&gt;"))</x:f>
      </x:c>
      <x:c r="E20" s="27" t="str">
        <x:f>IF($A20="","",COUNTIFS('Task Inbox'!$D$6:$D$205,$A20,'Task Inbox'!$G$6:$G$205,"&lt;&gt;Done",'Task Inbox'!$G$6:$G$205,"&lt;&gt;Canceled",'Task Inbox'!$B$6:$B$205,"&lt;&gt;"))</x:f>
      </x:c>
      <x:c r="F20" s="27" t="str">
        <x:f>IF($A20="","",COUNTIFS('Task Inbox'!$D$6:$D$205,$A20,'Task Inbox'!$G$6:$G$205,"&lt;&gt;Done",'Task Inbox'!$G$6:$G$205,"&lt;&gt;Canceled",'Task Inbox'!$H$6:$H$205,"&lt;"&amp;TODAY(),'Task Inbox'!$B$6:$B$205,"&lt;&gt;"))</x:f>
      </x:c>
      <x:c r="G20" s="27" t="str">
        <x:f>IF($A20="","",COUNTIFS('Task Inbox'!$D$6:$D$205,$A20,'Task Inbox'!$G$6:$G$205,"Blocked",'Task Inbox'!$B$6:$B$205,"&lt;&gt;"))</x:f>
      </x:c>
      <x:c r="H20" s="27" t="str">
        <x:f>IF($A20="","",COUNTIFS('Task Inbox'!$D$6:$D$205,$A20,'Task Inbox'!$G$6:$G$205,"Waiting on Others",'Task Inbox'!$B$6:$B$205,"&lt;&gt;"))</x:f>
      </x:c>
      <x:c r="I20" s="30" t="str">
        <x:f>IF($A20="","",IFERROR(COUNTIFS('Task Inbox'!$D$6:$D$205,$A20,'Task Inbox'!$G$6:$G$205,"Done")/D20,0))</x:f>
      </x:c>
      <x:c r="J20" s="23"/>
    </x:row>
    <x:row r="21">
      <x:c r="A21" s="27" t="str">
        <x:f>IF(Settings!F20="","",Settings!F20)</x:f>
      </x:c>
      <x:c r="B21" s="27" t="str">
        <x:f>IF(Settings!G20="","",Settings!G20)</x:f>
      </x:c>
      <x:c r="C21" s="27" t="str">
        <x:f>IF($A21="","",IF(G21&gt;0,"Blocked",IF(H21&gt;0,"Waiting on Others",IF(E21&gt;0,"In Progress",IF(D21&gt;0,"Done","Not Started")))))</x:f>
      </x:c>
      <x:c r="D21" s="27" t="str">
        <x:f>IF($A21="","",COUNTIFS('Task Inbox'!$D$6:$D$205,$A21,'Task Inbox'!$B$6:$B$205,"&lt;&gt;"))</x:f>
      </x:c>
      <x:c r="E21" s="27" t="str">
        <x:f>IF($A21="","",COUNTIFS('Task Inbox'!$D$6:$D$205,$A21,'Task Inbox'!$G$6:$G$205,"&lt;&gt;Done",'Task Inbox'!$G$6:$G$205,"&lt;&gt;Canceled",'Task Inbox'!$B$6:$B$205,"&lt;&gt;"))</x:f>
      </x:c>
      <x:c r="F21" s="27" t="str">
        <x:f>IF($A21="","",COUNTIFS('Task Inbox'!$D$6:$D$205,$A21,'Task Inbox'!$G$6:$G$205,"&lt;&gt;Done",'Task Inbox'!$G$6:$G$205,"&lt;&gt;Canceled",'Task Inbox'!$H$6:$H$205,"&lt;"&amp;TODAY(),'Task Inbox'!$B$6:$B$205,"&lt;&gt;"))</x:f>
      </x:c>
      <x:c r="G21" s="27" t="str">
        <x:f>IF($A21="","",COUNTIFS('Task Inbox'!$D$6:$D$205,$A21,'Task Inbox'!$G$6:$G$205,"Blocked",'Task Inbox'!$B$6:$B$205,"&lt;&gt;"))</x:f>
      </x:c>
      <x:c r="H21" s="27" t="str">
        <x:f>IF($A21="","",COUNTIFS('Task Inbox'!$D$6:$D$205,$A21,'Task Inbox'!$G$6:$G$205,"Waiting on Others",'Task Inbox'!$B$6:$B$205,"&lt;&gt;"))</x:f>
      </x:c>
      <x:c r="I21" s="30" t="str">
        <x:f>IF($A21="","",IFERROR(COUNTIFS('Task Inbox'!$D$6:$D$205,$A21,'Task Inbox'!$G$6:$G$205,"Done")/D21,0))</x:f>
      </x:c>
      <x:c r="J21" s="23"/>
    </x:row>
    <x:row r="22">
      <x:c r="A22" s="27" t="str">
        <x:f>IF(Settings!F21="","",Settings!F21)</x:f>
      </x:c>
      <x:c r="B22" s="27" t="str">
        <x:f>IF(Settings!G21="","",Settings!G21)</x:f>
      </x:c>
      <x:c r="C22" s="27" t="str">
        <x:f>IF($A22="","",IF(G22&gt;0,"Blocked",IF(H22&gt;0,"Waiting on Others",IF(E22&gt;0,"In Progress",IF(D22&gt;0,"Done","Not Started")))))</x:f>
      </x:c>
      <x:c r="D22" s="27" t="str">
        <x:f>IF($A22="","",COUNTIFS('Task Inbox'!$D$6:$D$205,$A22,'Task Inbox'!$B$6:$B$205,"&lt;&gt;"))</x:f>
      </x:c>
      <x:c r="E22" s="27" t="str">
        <x:f>IF($A22="","",COUNTIFS('Task Inbox'!$D$6:$D$205,$A22,'Task Inbox'!$G$6:$G$205,"&lt;&gt;Done",'Task Inbox'!$G$6:$G$205,"&lt;&gt;Canceled",'Task Inbox'!$B$6:$B$205,"&lt;&gt;"))</x:f>
      </x:c>
      <x:c r="F22" s="27" t="str">
        <x:f>IF($A22="","",COUNTIFS('Task Inbox'!$D$6:$D$205,$A22,'Task Inbox'!$G$6:$G$205,"&lt;&gt;Done",'Task Inbox'!$G$6:$G$205,"&lt;&gt;Canceled",'Task Inbox'!$H$6:$H$205,"&lt;"&amp;TODAY(),'Task Inbox'!$B$6:$B$205,"&lt;&gt;"))</x:f>
      </x:c>
      <x:c r="G22" s="27" t="str">
        <x:f>IF($A22="","",COUNTIFS('Task Inbox'!$D$6:$D$205,$A22,'Task Inbox'!$G$6:$G$205,"Blocked",'Task Inbox'!$B$6:$B$205,"&lt;&gt;"))</x:f>
      </x:c>
      <x:c r="H22" s="27" t="str">
        <x:f>IF($A22="","",COUNTIFS('Task Inbox'!$D$6:$D$205,$A22,'Task Inbox'!$G$6:$G$205,"Waiting on Others",'Task Inbox'!$B$6:$B$205,"&lt;&gt;"))</x:f>
      </x:c>
      <x:c r="I22" s="30" t="str">
        <x:f>IF($A22="","",IFERROR(COUNTIFS('Task Inbox'!$D$6:$D$205,$A22,'Task Inbox'!$G$6:$G$205,"Done")/D22,0))</x:f>
      </x:c>
      <x:c r="J22" s="23"/>
    </x:row>
    <x:row r="23">
      <x:c r="A23" s="27" t="str">
        <x:f>IF(Settings!F22="","",Settings!F22)</x:f>
      </x:c>
      <x:c r="B23" s="27" t="str">
        <x:f>IF(Settings!G22="","",Settings!G22)</x:f>
      </x:c>
      <x:c r="C23" s="27" t="str">
        <x:f>IF($A23="","",IF(G23&gt;0,"Blocked",IF(H23&gt;0,"Waiting on Others",IF(E23&gt;0,"In Progress",IF(D23&gt;0,"Done","Not Started")))))</x:f>
      </x:c>
      <x:c r="D23" s="27" t="str">
        <x:f>IF($A23="","",COUNTIFS('Task Inbox'!$D$6:$D$205,$A23,'Task Inbox'!$B$6:$B$205,"&lt;&gt;"))</x:f>
      </x:c>
      <x:c r="E23" s="27" t="str">
        <x:f>IF($A23="","",COUNTIFS('Task Inbox'!$D$6:$D$205,$A23,'Task Inbox'!$G$6:$G$205,"&lt;&gt;Done",'Task Inbox'!$G$6:$G$205,"&lt;&gt;Canceled",'Task Inbox'!$B$6:$B$205,"&lt;&gt;"))</x:f>
      </x:c>
      <x:c r="F23" s="27" t="str">
        <x:f>IF($A23="","",COUNTIFS('Task Inbox'!$D$6:$D$205,$A23,'Task Inbox'!$G$6:$G$205,"&lt;&gt;Done",'Task Inbox'!$G$6:$G$205,"&lt;&gt;Canceled",'Task Inbox'!$H$6:$H$205,"&lt;"&amp;TODAY(),'Task Inbox'!$B$6:$B$205,"&lt;&gt;"))</x:f>
      </x:c>
      <x:c r="G23" s="27" t="str">
        <x:f>IF($A23="","",COUNTIFS('Task Inbox'!$D$6:$D$205,$A23,'Task Inbox'!$G$6:$G$205,"Blocked",'Task Inbox'!$B$6:$B$205,"&lt;&gt;"))</x:f>
      </x:c>
      <x:c r="H23" s="27" t="str">
        <x:f>IF($A23="","",COUNTIFS('Task Inbox'!$D$6:$D$205,$A23,'Task Inbox'!$G$6:$G$205,"Waiting on Others",'Task Inbox'!$B$6:$B$205,"&lt;&gt;"))</x:f>
      </x:c>
      <x:c r="I23" s="30" t="str">
        <x:f>IF($A23="","",IFERROR(COUNTIFS('Task Inbox'!$D$6:$D$205,$A23,'Task Inbox'!$G$6:$G$205,"Done")/D23,0))</x:f>
      </x:c>
      <x:c r="J23" s="23"/>
    </x:row>
    <x:row r="24">
      <x:c r="A24" s="27" t="str">
        <x:f>IF(Settings!F23="","",Settings!F23)</x:f>
      </x:c>
      <x:c r="B24" s="27" t="str">
        <x:f>IF(Settings!G23="","",Settings!G23)</x:f>
      </x:c>
      <x:c r="C24" s="27" t="str">
        <x:f>IF($A24="","",IF(G24&gt;0,"Blocked",IF(H24&gt;0,"Waiting on Others",IF(E24&gt;0,"In Progress",IF(D24&gt;0,"Done","Not Started")))))</x:f>
      </x:c>
      <x:c r="D24" s="27" t="str">
        <x:f>IF($A24="","",COUNTIFS('Task Inbox'!$D$6:$D$205,$A24,'Task Inbox'!$B$6:$B$205,"&lt;&gt;"))</x:f>
      </x:c>
      <x:c r="E24" s="27" t="str">
        <x:f>IF($A24="","",COUNTIFS('Task Inbox'!$D$6:$D$205,$A24,'Task Inbox'!$G$6:$G$205,"&lt;&gt;Done",'Task Inbox'!$G$6:$G$205,"&lt;&gt;Canceled",'Task Inbox'!$B$6:$B$205,"&lt;&gt;"))</x:f>
      </x:c>
      <x:c r="F24" s="27" t="str">
        <x:f>IF($A24="","",COUNTIFS('Task Inbox'!$D$6:$D$205,$A24,'Task Inbox'!$G$6:$G$205,"&lt;&gt;Done",'Task Inbox'!$G$6:$G$205,"&lt;&gt;Canceled",'Task Inbox'!$H$6:$H$205,"&lt;"&amp;TODAY(),'Task Inbox'!$B$6:$B$205,"&lt;&gt;"))</x:f>
      </x:c>
      <x:c r="G24" s="27" t="str">
        <x:f>IF($A24="","",COUNTIFS('Task Inbox'!$D$6:$D$205,$A24,'Task Inbox'!$G$6:$G$205,"Blocked",'Task Inbox'!$B$6:$B$205,"&lt;&gt;"))</x:f>
      </x:c>
      <x:c r="H24" s="27" t="str">
        <x:f>IF($A24="","",COUNTIFS('Task Inbox'!$D$6:$D$205,$A24,'Task Inbox'!$G$6:$G$205,"Waiting on Others",'Task Inbox'!$B$6:$B$205,"&lt;&gt;"))</x:f>
      </x:c>
      <x:c r="I24" s="30" t="str">
        <x:f>IF($A24="","",IFERROR(COUNTIFS('Task Inbox'!$D$6:$D$205,$A24,'Task Inbox'!$G$6:$G$205,"Done")/D24,0))</x:f>
      </x:c>
      <x:c r="J24" s="23"/>
    </x:row>
    <x:row r="25">
      <x:c r="A25" s="27" t="str">
        <x:f>IF(Settings!F24="","",Settings!F24)</x:f>
      </x:c>
      <x:c r="B25" s="27" t="str">
        <x:f>IF(Settings!G24="","",Settings!G24)</x:f>
      </x:c>
      <x:c r="C25" s="27" t="str">
        <x:f>IF($A25="","",IF(G25&gt;0,"Blocked",IF(H25&gt;0,"Waiting on Others",IF(E25&gt;0,"In Progress",IF(D25&gt;0,"Done","Not Started")))))</x:f>
      </x:c>
      <x:c r="D25" s="27" t="str">
        <x:f>IF($A25="","",COUNTIFS('Task Inbox'!$D$6:$D$205,$A25,'Task Inbox'!$B$6:$B$205,"&lt;&gt;"))</x:f>
      </x:c>
      <x:c r="E25" s="27" t="str">
        <x:f>IF($A25="","",COUNTIFS('Task Inbox'!$D$6:$D$205,$A25,'Task Inbox'!$G$6:$G$205,"&lt;&gt;Done",'Task Inbox'!$G$6:$G$205,"&lt;&gt;Canceled",'Task Inbox'!$B$6:$B$205,"&lt;&gt;"))</x:f>
      </x:c>
      <x:c r="F25" s="27" t="str">
        <x:f>IF($A25="","",COUNTIFS('Task Inbox'!$D$6:$D$205,$A25,'Task Inbox'!$G$6:$G$205,"&lt;&gt;Done",'Task Inbox'!$G$6:$G$205,"&lt;&gt;Canceled",'Task Inbox'!$H$6:$H$205,"&lt;"&amp;TODAY(),'Task Inbox'!$B$6:$B$205,"&lt;&gt;"))</x:f>
      </x:c>
      <x:c r="G25" s="27" t="str">
        <x:f>IF($A25="","",COUNTIFS('Task Inbox'!$D$6:$D$205,$A25,'Task Inbox'!$G$6:$G$205,"Blocked",'Task Inbox'!$B$6:$B$205,"&lt;&gt;"))</x:f>
      </x:c>
      <x:c r="H25" s="27" t="str">
        <x:f>IF($A25="","",COUNTIFS('Task Inbox'!$D$6:$D$205,$A25,'Task Inbox'!$G$6:$G$205,"Waiting on Others",'Task Inbox'!$B$6:$B$205,"&lt;&gt;"))</x:f>
      </x:c>
      <x:c r="I25" s="30" t="str">
        <x:f>IF($A25="","",IFERROR(COUNTIFS('Task Inbox'!$D$6:$D$205,$A25,'Task Inbox'!$G$6:$G$205,"Done")/D25,0))</x:f>
      </x:c>
      <x:c r="J25" s="23"/>
    </x:row>
  </x:sheetData>
  <x:pageMargins left="0.7" right="0.7" top="0.75" bottom="0.75" header="0.3" footer="0.3"/>
  <x:tableParts count="1">
    <x:tablePart xmlns:r="http://schemas.openxmlformats.org/officeDocument/2006/relationships" r:id="R38a29c9501a041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33.33000183105469" hidden="0" customWidth="1"/>
    <x:col min="3" max="3" width="18.889999389648438" hidden="0" customWidth="1"/>
    <x:col min="4" max="4" width="13.329999923706055" hidden="0" customWidth="1"/>
    <x:col min="5" max="5" width="13.329999923706055" hidden="0" customWidth="1"/>
    <x:col min="6" max="6" width="16.670000076293945" hidden="0" customWidth="1"/>
    <x:col min="7" max="7" width="12.779999732971191" hidden="0" customWidth="1"/>
    <x:col min="8" max="8" width="10" hidden="0" customWidth="1"/>
    <x:col min="9" max="9" width="31.110000610351562" hidden="0" customWidth="1"/>
    <x:col min="10" max="10" width="24.440000534057617" hidden="0" customWidth="1"/>
    <x:col min="11" max="11" width="12.779999732971191" hidden="0" customWidth="1"/>
  </x:cols>
  <x:sheetData>
    <x:row r="1" ht="31.5" customHeight="1">
      <x:c r="A1" s="2" t="str">
        <x:v>Delegated / Waiting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>
      <x:c r="A2" s="22" t="str">
        <x:v>Read-only formula view. It automatically shows delegated, blocked, and waiting-on-others tasks from Task Inbox.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>
      <x:c r="A4" s="26" t="str">
        <x:v>ID</x:v>
      </x:c>
      <x:c r="B4" s="26" t="str">
        <x:v>Task</x:v>
      </x:c>
      <x:c r="C4" s="26" t="str">
        <x:v>Project</x:v>
      </x:c>
      <x:c r="D4" s="26" t="str">
        <x:v>Owner</x:v>
      </x:c>
      <x:c r="E4" s="26" t="str">
        <x:v>Priority</x:v>
      </x:c>
      <x:c r="F4" s="26" t="str">
        <x:v>Status</x:v>
      </x:c>
      <x:c r="G4" s="26" t="str">
        <x:v>Due Date</x:v>
      </x:c>
      <x:c r="H4" s="26" t="str">
        <x:v>Progress</x:v>
      </x:c>
      <x:c r="I4" s="26" t="str">
        <x:v>Next Step</x:v>
      </x:c>
      <x:c r="J4" s="26" t="str">
        <x:v>Blocker</x:v>
      </x:c>
      <x:c r="K4" s="26" t="str">
        <x:v>Last Updated</x:v>
      </x:c>
    </x:row>
    <x:row r="5">
      <x:c r="A5" s="27" t="str">
        <x:f>IFERROR(INDEX('Task Inbox'!A$6:A$205,MATCH(ROWS($A$5:A5),'Task Inbox'!$S$6:$S$205,0)),"")</x:f>
        <x:v>T-002</x:v>
      </x:c>
      <x:c r="B5" s="27" t="str">
        <x:f>IFERROR(INDEX('Task Inbox'!B$6:B$205,MATCH(ROWS($A$5:A5),'Task Inbox'!$S$6:$S$205,0)),"")</x:f>
        <x:v>Follow up on customer delivery risk list</x:v>
      </x:c>
      <x:c r="C5" s="27" t="str">
        <x:f>IFERROR(INDEX('Task Inbox'!D$6:D$205,MATCH(ROWS($A$5:A5),'Task Inbox'!$S$6:$S$205,0)),"")</x:f>
        <x:v>Customer Delivery</x:v>
      </x:c>
      <x:c r="D5" s="27" t="str">
        <x:f>IFERROR(INDEX('Task Inbox'!E$6:E$205,MATCH(ROWS($A$5:A5),'Task Inbox'!$S$6:$S$205,0)),"")</x:f>
        <x:v>Alice</x:v>
      </x:c>
      <x:c r="E5" s="27" t="str">
        <x:f>IFERROR(INDEX('Task Inbox'!F$6:F$205,MATCH(ROWS($A$5:A5),'Task Inbox'!$S$6:$S$205,0)),"")</x:f>
        <x:v>P1 High</x:v>
      </x:c>
      <x:c r="F5" s="27" t="str">
        <x:f>IFERROR(INDEX('Task Inbox'!G$6:G$205,MATCH(ROWS($A$5:A5),'Task Inbox'!$S$6:$S$205,0)),"")</x:f>
        <x:v>Waiting on Others</x:v>
      </x:c>
      <x:c r="G5" s="28" t="n">
        <x:f>IFERROR(INDEX('Task Inbox'!H$6:H$205,MATCH(ROWS($A$5:A5),'Task Inbox'!$S$6:$S$205,0)),"")</x:f>
        <x:v>46175</x:v>
      </x:c>
      <x:c r="H5" s="30" t="n">
        <x:f>IFERROR(INDEX('Task Inbox'!J$6:J$205,MATCH(ROWS($A$5:A5),'Task Inbox'!$S$6:$S$205,0)),"")</x:f>
        <x:v>0.35</x:v>
      </x:c>
      <x:c r="I5" s="27" t="str">
        <x:f>IFERROR(INDEX('Task Inbox'!K$6:K$205,MATCH(ROWS($A$5:A5),'Task Inbox'!$S$6:$S$205,0)),"")</x:f>
        <x:v>Waiting for risk rating from Alice</x:v>
      </x:c>
      <x:c r="J5" s="27" t="str">
        <x:f>IFERROR(INDEX('Task Inbox'!N$6:N$205,MATCH(ROWS($A$5:A5),'Task Inbox'!$S$6:$S$205,0)),"")</x:f>
      </x:c>
      <x:c r="K5" s="28" t="n">
        <x:f>IFERROR(INDEX('Task Inbox'!O$6:O$205,MATCH(ROWS($A$5:A5),'Task Inbox'!$S$6:$S$205,0)),"")</x:f>
        <x:v>46174</x:v>
      </x:c>
    </x:row>
    <x:row r="6">
      <x:c r="A6" s="27" t="str">
        <x:f>IFERROR(INDEX('Task Inbox'!A$6:A$205,MATCH(ROWS($A$5:A6),'Task Inbox'!$S$6:$S$205,0)),"")</x:f>
        <x:v>T-004</x:v>
      </x:c>
      <x:c r="B6" s="27" t="str">
        <x:f>IFERROR(INDEX('Task Inbox'!B$6:B$205,MATCH(ROWS($A$5:A6),'Task Inbox'!$S$6:$S$205,0)),"")</x:f>
        <x:v>Compile hiring interview feedback</x:v>
      </x:c>
      <x:c r="C6" s="27" t="str">
        <x:f>IFERROR(INDEX('Task Inbox'!D$6:D$205,MATCH(ROWS($A$5:A6),'Task Inbox'!$S$6:$S$205,0)),"")</x:f>
        <x:v>Hiring</x:v>
      </x:c>
      <x:c r="D6" s="27" t="str">
        <x:f>IFERROR(INDEX('Task Inbox'!E$6:E$205,MATCH(ROWS($A$5:A6),'Task Inbox'!$S$6:$S$205,0)),"")</x:f>
        <x:v>HR</x:v>
      </x:c>
      <x:c r="E6" s="27" t="str">
        <x:f>IFERROR(INDEX('Task Inbox'!F$6:F$205,MATCH(ROWS($A$5:A6),'Task Inbox'!$S$6:$S$205,0)),"")</x:f>
        <x:v>P2 Medium</x:v>
      </x:c>
      <x:c r="F6" s="27" t="str">
        <x:f>IFERROR(INDEX('Task Inbox'!G$6:G$205,MATCH(ROWS($A$5:A6),'Task Inbox'!$S$6:$S$205,0)),"")</x:f>
        <x:v>Blocked</x:v>
      </x:c>
      <x:c r="G6" s="28" t="n">
        <x:f>IFERROR(INDEX('Task Inbox'!H$6:H$205,MATCH(ROWS($A$5:A6),'Task Inbox'!$S$6:$S$205,0)),"")</x:f>
        <x:v>46172</x:v>
      </x:c>
      <x:c r="H6" s="30" t="n">
        <x:f>IFERROR(INDEX('Task Inbox'!J$6:J$205,MATCH(ROWS($A$5:A6),'Task Inbox'!$S$6:$S$205,0)),"")</x:f>
        <x:v>0.2</x:v>
      </x:c>
      <x:c r="I6" s="27" t="str">
        <x:f>IFERROR(INDEX('Task Inbox'!K$6:K$205,MATCH(ROWS($A$5:A6),'Task Inbox'!$S$6:$S$205,0)),"")</x:f>
        <x:v>Ask HR for missing scorecard</x:v>
      </x:c>
      <x:c r="J6" s="27" t="str">
        <x:f>IFERROR(INDEX('Task Inbox'!N$6:N$205,MATCH(ROWS($A$5:A6),'Task Inbox'!$S$6:$S$205,0)),"")</x:f>
        <x:v>Missing interviewer scorecard</x:v>
      </x:c>
      <x:c r="K6" s="28" t="n">
        <x:f>IFERROR(INDEX('Task Inbox'!O$6:O$205,MATCH(ROWS($A$5:A6),'Task Inbox'!$S$6:$S$205,0)),"")</x:f>
        <x:v>46174</x:v>
      </x:c>
    </x:row>
    <x:row r="7">
      <x:c r="A7" s="27" t="str">
        <x:f>IFERROR(INDEX('Task Inbox'!A$6:A$205,MATCH(ROWS($A$5:A7),'Task Inbox'!$S$6:$S$205,0)),"")</x:f>
        <x:v>T-006</x:v>
      </x:c>
      <x:c r="B7" s="27" t="str">
        <x:f>IFERROR(INDEX('Task Inbox'!B$6:B$205,MATCH(ROWS($A$5:A7),'Task Inbox'!$S$6:$S$205,0)),"")</x:f>
        <x:v>Map cross-functional SLA workflow</x:v>
      </x:c>
      <x:c r="C7" s="27" t="str">
        <x:f>IFERROR(INDEX('Task Inbox'!D$6:D$205,MATCH(ROWS($A$5:A7),'Task Inbox'!$S$6:$S$205,0)),"")</x:f>
        <x:v>Process Optimization</x:v>
      </x:c>
      <x:c r="D7" s="27" t="str">
        <x:f>IFERROR(INDEX('Task Inbox'!E$6:E$205,MATCH(ROWS($A$5:A7),'Task Inbox'!$S$6:$S$205,0)),"")</x:f>
        <x:v>Product</x:v>
      </x:c>
      <x:c r="E7" s="27" t="str">
        <x:f>IFERROR(INDEX('Task Inbox'!F$6:F$205,MATCH(ROWS($A$5:A7),'Task Inbox'!$S$6:$S$205,0)),"")</x:f>
        <x:v>P1 High</x:v>
      </x:c>
      <x:c r="F7" s="27" t="str">
        <x:f>IFERROR(INDEX('Task Inbox'!G$6:G$205,MATCH(ROWS($A$5:A7),'Task Inbox'!$S$6:$S$205,0)),"")</x:f>
        <x:v>In Progress</x:v>
      </x:c>
      <x:c r="G7" s="28" t="n">
        <x:f>IFERROR(INDEX('Task Inbox'!H$6:H$205,MATCH(ROWS($A$5:A7),'Task Inbox'!$S$6:$S$205,0)),"")</x:f>
        <x:v>46180</x:v>
      </x:c>
      <x:c r="H7" s="30" t="n">
        <x:f>IFERROR(INDEX('Task Inbox'!J$6:J$205,MATCH(ROWS($A$5:A7),'Task Inbox'!$S$6:$S$205,0)),"")</x:f>
        <x:v>0.65</x:v>
      </x:c>
      <x:c r="I7" s="27" t="str">
        <x:f>IFERROR(INDEX('Task Inbox'!K$6:K$205,MATCH(ROWS($A$5:A7),'Task Inbox'!$S$6:$S$205,0)),"")</x:f>
        <x:v>Add Legal review node</x:v>
      </x:c>
      <x:c r="J7" s="27" t="str">
        <x:f>IFERROR(INDEX('Task Inbox'!N$6:N$205,MATCH(ROWS($A$5:A7),'Task Inbox'!$S$6:$S$205,0)),"")</x:f>
      </x:c>
      <x:c r="K7" s="28" t="n">
        <x:f>IFERROR(INDEX('Task Inbox'!O$6:O$205,MATCH(ROWS($A$5:A7),'Task Inbox'!$S$6:$S$205,0)),"")</x:f>
        <x:v>46174</x:v>
      </x:c>
    </x:row>
    <x:row r="8">
      <x:c r="A8" s="27" t="str">
        <x:f>IFERROR(INDEX('Task Inbox'!A$6:A$205,MATCH(ROWS($A$5:A8),'Task Inbox'!$S$6:$S$205,0)),"")</x:f>
      </x:c>
      <x:c r="B8" s="27" t="str">
        <x:f>IFERROR(INDEX('Task Inbox'!B$6:B$205,MATCH(ROWS($A$5:A8),'Task Inbox'!$S$6:$S$205,0)),"")</x:f>
      </x:c>
      <x:c r="C8" s="27" t="str">
        <x:f>IFERROR(INDEX('Task Inbox'!D$6:D$205,MATCH(ROWS($A$5:A8),'Task Inbox'!$S$6:$S$205,0)),"")</x:f>
      </x:c>
      <x:c r="D8" s="27" t="str">
        <x:f>IFERROR(INDEX('Task Inbox'!E$6:E$205,MATCH(ROWS($A$5:A8),'Task Inbox'!$S$6:$S$205,0)),"")</x:f>
      </x:c>
      <x:c r="E8" s="27" t="str">
        <x:f>IFERROR(INDEX('Task Inbox'!F$6:F$205,MATCH(ROWS($A$5:A8),'Task Inbox'!$S$6:$S$205,0)),"")</x:f>
      </x:c>
      <x:c r="F8" s="27" t="str">
        <x:f>IFERROR(INDEX('Task Inbox'!G$6:G$205,MATCH(ROWS($A$5:A8),'Task Inbox'!$S$6:$S$205,0)),"")</x:f>
      </x:c>
      <x:c r="G8" s="28" t="str">
        <x:f>IFERROR(INDEX('Task Inbox'!H$6:H$205,MATCH(ROWS($A$5:A8),'Task Inbox'!$S$6:$S$205,0)),"")</x:f>
      </x:c>
      <x:c r="H8" s="30" t="str">
        <x:f>IFERROR(INDEX('Task Inbox'!J$6:J$205,MATCH(ROWS($A$5:A8),'Task Inbox'!$S$6:$S$205,0)),"")</x:f>
      </x:c>
      <x:c r="I8" s="27" t="str">
        <x:f>IFERROR(INDEX('Task Inbox'!K$6:K$205,MATCH(ROWS($A$5:A8),'Task Inbox'!$S$6:$S$205,0)),"")</x:f>
      </x:c>
      <x:c r="J8" s="27" t="str">
        <x:f>IFERROR(INDEX('Task Inbox'!N$6:N$205,MATCH(ROWS($A$5:A8),'Task Inbox'!$S$6:$S$205,0)),"")</x:f>
      </x:c>
      <x:c r="K8" s="28" t="str">
        <x:f>IFERROR(INDEX('Task Inbox'!O$6:O$205,MATCH(ROWS($A$5:A8),'Task Inbox'!$S$6:$S$205,0)),"")</x:f>
      </x:c>
    </x:row>
    <x:row r="9">
      <x:c r="A9" s="27" t="str">
        <x:f>IFERROR(INDEX('Task Inbox'!A$6:A$205,MATCH(ROWS($A$5:A9),'Task Inbox'!$S$6:$S$205,0)),"")</x:f>
      </x:c>
      <x:c r="B9" s="27" t="str">
        <x:f>IFERROR(INDEX('Task Inbox'!B$6:B$205,MATCH(ROWS($A$5:A9),'Task Inbox'!$S$6:$S$205,0)),"")</x:f>
      </x:c>
      <x:c r="C9" s="27" t="str">
        <x:f>IFERROR(INDEX('Task Inbox'!D$6:D$205,MATCH(ROWS($A$5:A9),'Task Inbox'!$S$6:$S$205,0)),"")</x:f>
      </x:c>
      <x:c r="D9" s="27" t="str">
        <x:f>IFERROR(INDEX('Task Inbox'!E$6:E$205,MATCH(ROWS($A$5:A9),'Task Inbox'!$S$6:$S$205,0)),"")</x:f>
      </x:c>
      <x:c r="E9" s="27" t="str">
        <x:f>IFERROR(INDEX('Task Inbox'!F$6:F$205,MATCH(ROWS($A$5:A9),'Task Inbox'!$S$6:$S$205,0)),"")</x:f>
      </x:c>
      <x:c r="F9" s="27" t="str">
        <x:f>IFERROR(INDEX('Task Inbox'!G$6:G$205,MATCH(ROWS($A$5:A9),'Task Inbox'!$S$6:$S$205,0)),"")</x:f>
      </x:c>
      <x:c r="G9" s="28" t="str">
        <x:f>IFERROR(INDEX('Task Inbox'!H$6:H$205,MATCH(ROWS($A$5:A9),'Task Inbox'!$S$6:$S$205,0)),"")</x:f>
      </x:c>
      <x:c r="H9" s="30" t="str">
        <x:f>IFERROR(INDEX('Task Inbox'!J$6:J$205,MATCH(ROWS($A$5:A9),'Task Inbox'!$S$6:$S$205,0)),"")</x:f>
      </x:c>
      <x:c r="I9" s="27" t="str">
        <x:f>IFERROR(INDEX('Task Inbox'!K$6:K$205,MATCH(ROWS($A$5:A9),'Task Inbox'!$S$6:$S$205,0)),"")</x:f>
      </x:c>
      <x:c r="J9" s="27" t="str">
        <x:f>IFERROR(INDEX('Task Inbox'!N$6:N$205,MATCH(ROWS($A$5:A9),'Task Inbox'!$S$6:$S$205,0)),"")</x:f>
      </x:c>
      <x:c r="K9" s="28" t="str">
        <x:f>IFERROR(INDEX('Task Inbox'!O$6:O$205,MATCH(ROWS($A$5:A9),'Task Inbox'!$S$6:$S$205,0)),"")</x:f>
      </x:c>
    </x:row>
    <x:row r="10">
      <x:c r="A10" s="27" t="str">
        <x:f>IFERROR(INDEX('Task Inbox'!A$6:A$205,MATCH(ROWS($A$5:A10),'Task Inbox'!$S$6:$S$205,0)),"")</x:f>
      </x:c>
      <x:c r="B10" s="27" t="str">
        <x:f>IFERROR(INDEX('Task Inbox'!B$6:B$205,MATCH(ROWS($A$5:A10),'Task Inbox'!$S$6:$S$205,0)),"")</x:f>
      </x:c>
      <x:c r="C10" s="27" t="str">
        <x:f>IFERROR(INDEX('Task Inbox'!D$6:D$205,MATCH(ROWS($A$5:A10),'Task Inbox'!$S$6:$S$205,0)),"")</x:f>
      </x:c>
      <x:c r="D10" s="27" t="str">
        <x:f>IFERROR(INDEX('Task Inbox'!E$6:E$205,MATCH(ROWS($A$5:A10),'Task Inbox'!$S$6:$S$205,0)),"")</x:f>
      </x:c>
      <x:c r="E10" s="27" t="str">
        <x:f>IFERROR(INDEX('Task Inbox'!F$6:F$205,MATCH(ROWS($A$5:A10),'Task Inbox'!$S$6:$S$205,0)),"")</x:f>
      </x:c>
      <x:c r="F10" s="27" t="str">
        <x:f>IFERROR(INDEX('Task Inbox'!G$6:G$205,MATCH(ROWS($A$5:A10),'Task Inbox'!$S$6:$S$205,0)),"")</x:f>
      </x:c>
      <x:c r="G10" s="28" t="str">
        <x:f>IFERROR(INDEX('Task Inbox'!H$6:H$205,MATCH(ROWS($A$5:A10),'Task Inbox'!$S$6:$S$205,0)),"")</x:f>
      </x:c>
      <x:c r="H10" s="30" t="str">
        <x:f>IFERROR(INDEX('Task Inbox'!J$6:J$205,MATCH(ROWS($A$5:A10),'Task Inbox'!$S$6:$S$205,0)),"")</x:f>
      </x:c>
      <x:c r="I10" s="27" t="str">
        <x:f>IFERROR(INDEX('Task Inbox'!K$6:K$205,MATCH(ROWS($A$5:A10),'Task Inbox'!$S$6:$S$205,0)),"")</x:f>
      </x:c>
      <x:c r="J10" s="27" t="str">
        <x:f>IFERROR(INDEX('Task Inbox'!N$6:N$205,MATCH(ROWS($A$5:A10),'Task Inbox'!$S$6:$S$205,0)),"")</x:f>
      </x:c>
      <x:c r="K10" s="28" t="str">
        <x:f>IFERROR(INDEX('Task Inbox'!O$6:O$205,MATCH(ROWS($A$5:A10),'Task Inbox'!$S$6:$S$205,0)),"")</x:f>
      </x:c>
    </x:row>
    <x:row r="11">
      <x:c r="A11" s="27" t="str">
        <x:f>IFERROR(INDEX('Task Inbox'!A$6:A$205,MATCH(ROWS($A$5:A11),'Task Inbox'!$S$6:$S$205,0)),"")</x:f>
      </x:c>
      <x:c r="B11" s="27" t="str">
        <x:f>IFERROR(INDEX('Task Inbox'!B$6:B$205,MATCH(ROWS($A$5:A11),'Task Inbox'!$S$6:$S$205,0)),"")</x:f>
      </x:c>
      <x:c r="C11" s="27" t="str">
        <x:f>IFERROR(INDEX('Task Inbox'!D$6:D$205,MATCH(ROWS($A$5:A11),'Task Inbox'!$S$6:$S$205,0)),"")</x:f>
      </x:c>
      <x:c r="D11" s="27" t="str">
        <x:f>IFERROR(INDEX('Task Inbox'!E$6:E$205,MATCH(ROWS($A$5:A11),'Task Inbox'!$S$6:$S$205,0)),"")</x:f>
      </x:c>
      <x:c r="E11" s="27" t="str">
        <x:f>IFERROR(INDEX('Task Inbox'!F$6:F$205,MATCH(ROWS($A$5:A11),'Task Inbox'!$S$6:$S$205,0)),"")</x:f>
      </x:c>
      <x:c r="F11" s="27" t="str">
        <x:f>IFERROR(INDEX('Task Inbox'!G$6:G$205,MATCH(ROWS($A$5:A11),'Task Inbox'!$S$6:$S$205,0)),"")</x:f>
      </x:c>
      <x:c r="G11" s="28" t="str">
        <x:f>IFERROR(INDEX('Task Inbox'!H$6:H$205,MATCH(ROWS($A$5:A11),'Task Inbox'!$S$6:$S$205,0)),"")</x:f>
      </x:c>
      <x:c r="H11" s="30" t="str">
        <x:f>IFERROR(INDEX('Task Inbox'!J$6:J$205,MATCH(ROWS($A$5:A11),'Task Inbox'!$S$6:$S$205,0)),"")</x:f>
      </x:c>
      <x:c r="I11" s="27" t="str">
        <x:f>IFERROR(INDEX('Task Inbox'!K$6:K$205,MATCH(ROWS($A$5:A11),'Task Inbox'!$S$6:$S$205,0)),"")</x:f>
      </x:c>
      <x:c r="J11" s="27" t="str">
        <x:f>IFERROR(INDEX('Task Inbox'!N$6:N$205,MATCH(ROWS($A$5:A11),'Task Inbox'!$S$6:$S$205,0)),"")</x:f>
      </x:c>
      <x:c r="K11" s="28" t="str">
        <x:f>IFERROR(INDEX('Task Inbox'!O$6:O$205,MATCH(ROWS($A$5:A11),'Task Inbox'!$S$6:$S$205,0)),"")</x:f>
      </x:c>
    </x:row>
    <x:row r="12">
      <x:c r="A12" s="27" t="str">
        <x:f>IFERROR(INDEX('Task Inbox'!A$6:A$205,MATCH(ROWS($A$5:A12),'Task Inbox'!$S$6:$S$205,0)),"")</x:f>
      </x:c>
      <x:c r="B12" s="27" t="str">
        <x:f>IFERROR(INDEX('Task Inbox'!B$6:B$205,MATCH(ROWS($A$5:A12),'Task Inbox'!$S$6:$S$205,0)),"")</x:f>
      </x:c>
      <x:c r="C12" s="27" t="str">
        <x:f>IFERROR(INDEX('Task Inbox'!D$6:D$205,MATCH(ROWS($A$5:A12),'Task Inbox'!$S$6:$S$205,0)),"")</x:f>
      </x:c>
      <x:c r="D12" s="27" t="str">
        <x:f>IFERROR(INDEX('Task Inbox'!E$6:E$205,MATCH(ROWS($A$5:A12),'Task Inbox'!$S$6:$S$205,0)),"")</x:f>
      </x:c>
      <x:c r="E12" s="27" t="str">
        <x:f>IFERROR(INDEX('Task Inbox'!F$6:F$205,MATCH(ROWS($A$5:A12),'Task Inbox'!$S$6:$S$205,0)),"")</x:f>
      </x:c>
      <x:c r="F12" s="27" t="str">
        <x:f>IFERROR(INDEX('Task Inbox'!G$6:G$205,MATCH(ROWS($A$5:A12),'Task Inbox'!$S$6:$S$205,0)),"")</x:f>
      </x:c>
      <x:c r="G12" s="28" t="str">
        <x:f>IFERROR(INDEX('Task Inbox'!H$6:H$205,MATCH(ROWS($A$5:A12),'Task Inbox'!$S$6:$S$205,0)),"")</x:f>
      </x:c>
      <x:c r="H12" s="30" t="str">
        <x:f>IFERROR(INDEX('Task Inbox'!J$6:J$205,MATCH(ROWS($A$5:A12),'Task Inbox'!$S$6:$S$205,0)),"")</x:f>
      </x:c>
      <x:c r="I12" s="27" t="str">
        <x:f>IFERROR(INDEX('Task Inbox'!K$6:K$205,MATCH(ROWS($A$5:A12),'Task Inbox'!$S$6:$S$205,0)),"")</x:f>
      </x:c>
      <x:c r="J12" s="27" t="str">
        <x:f>IFERROR(INDEX('Task Inbox'!N$6:N$205,MATCH(ROWS($A$5:A12),'Task Inbox'!$S$6:$S$205,0)),"")</x:f>
      </x:c>
      <x:c r="K12" s="28" t="str">
        <x:f>IFERROR(INDEX('Task Inbox'!O$6:O$205,MATCH(ROWS($A$5:A12),'Task Inbox'!$S$6:$S$205,0)),"")</x:f>
      </x:c>
    </x:row>
    <x:row r="13">
      <x:c r="A13" s="27" t="str">
        <x:f>IFERROR(INDEX('Task Inbox'!A$6:A$205,MATCH(ROWS($A$5:A13),'Task Inbox'!$S$6:$S$205,0)),"")</x:f>
      </x:c>
      <x:c r="B13" s="27" t="str">
        <x:f>IFERROR(INDEX('Task Inbox'!B$6:B$205,MATCH(ROWS($A$5:A13),'Task Inbox'!$S$6:$S$205,0)),"")</x:f>
      </x:c>
      <x:c r="C13" s="27" t="str">
        <x:f>IFERROR(INDEX('Task Inbox'!D$6:D$205,MATCH(ROWS($A$5:A13),'Task Inbox'!$S$6:$S$205,0)),"")</x:f>
      </x:c>
      <x:c r="D13" s="27" t="str">
        <x:f>IFERROR(INDEX('Task Inbox'!E$6:E$205,MATCH(ROWS($A$5:A13),'Task Inbox'!$S$6:$S$205,0)),"")</x:f>
      </x:c>
      <x:c r="E13" s="27" t="str">
        <x:f>IFERROR(INDEX('Task Inbox'!F$6:F$205,MATCH(ROWS($A$5:A13),'Task Inbox'!$S$6:$S$205,0)),"")</x:f>
      </x:c>
      <x:c r="F13" s="27" t="str">
        <x:f>IFERROR(INDEX('Task Inbox'!G$6:G$205,MATCH(ROWS($A$5:A13),'Task Inbox'!$S$6:$S$205,0)),"")</x:f>
      </x:c>
      <x:c r="G13" s="28" t="str">
        <x:f>IFERROR(INDEX('Task Inbox'!H$6:H$205,MATCH(ROWS($A$5:A13),'Task Inbox'!$S$6:$S$205,0)),"")</x:f>
      </x:c>
      <x:c r="H13" s="30" t="str">
        <x:f>IFERROR(INDEX('Task Inbox'!J$6:J$205,MATCH(ROWS($A$5:A13),'Task Inbox'!$S$6:$S$205,0)),"")</x:f>
      </x:c>
      <x:c r="I13" s="27" t="str">
        <x:f>IFERROR(INDEX('Task Inbox'!K$6:K$205,MATCH(ROWS($A$5:A13),'Task Inbox'!$S$6:$S$205,0)),"")</x:f>
      </x:c>
      <x:c r="J13" s="27" t="str">
        <x:f>IFERROR(INDEX('Task Inbox'!N$6:N$205,MATCH(ROWS($A$5:A13),'Task Inbox'!$S$6:$S$205,0)),"")</x:f>
      </x:c>
      <x:c r="K13" s="28" t="str">
        <x:f>IFERROR(INDEX('Task Inbox'!O$6:O$205,MATCH(ROWS($A$5:A13),'Task Inbox'!$S$6:$S$205,0)),"")</x:f>
      </x:c>
    </x:row>
    <x:row r="14">
      <x:c r="A14" s="27" t="str">
        <x:f>IFERROR(INDEX('Task Inbox'!A$6:A$205,MATCH(ROWS($A$5:A14),'Task Inbox'!$S$6:$S$205,0)),"")</x:f>
      </x:c>
      <x:c r="B14" s="27" t="str">
        <x:f>IFERROR(INDEX('Task Inbox'!B$6:B$205,MATCH(ROWS($A$5:A14),'Task Inbox'!$S$6:$S$205,0)),"")</x:f>
      </x:c>
      <x:c r="C14" s="27" t="str">
        <x:f>IFERROR(INDEX('Task Inbox'!D$6:D$205,MATCH(ROWS($A$5:A14),'Task Inbox'!$S$6:$S$205,0)),"")</x:f>
      </x:c>
      <x:c r="D14" s="27" t="str">
        <x:f>IFERROR(INDEX('Task Inbox'!E$6:E$205,MATCH(ROWS($A$5:A14),'Task Inbox'!$S$6:$S$205,0)),"")</x:f>
      </x:c>
      <x:c r="E14" s="27" t="str">
        <x:f>IFERROR(INDEX('Task Inbox'!F$6:F$205,MATCH(ROWS($A$5:A14),'Task Inbox'!$S$6:$S$205,0)),"")</x:f>
      </x:c>
      <x:c r="F14" s="27" t="str">
        <x:f>IFERROR(INDEX('Task Inbox'!G$6:G$205,MATCH(ROWS($A$5:A14),'Task Inbox'!$S$6:$S$205,0)),"")</x:f>
      </x:c>
      <x:c r="G14" s="28" t="str">
        <x:f>IFERROR(INDEX('Task Inbox'!H$6:H$205,MATCH(ROWS($A$5:A14),'Task Inbox'!$S$6:$S$205,0)),"")</x:f>
      </x:c>
      <x:c r="H14" s="30" t="str">
        <x:f>IFERROR(INDEX('Task Inbox'!J$6:J$205,MATCH(ROWS($A$5:A14),'Task Inbox'!$S$6:$S$205,0)),"")</x:f>
      </x:c>
      <x:c r="I14" s="27" t="str">
        <x:f>IFERROR(INDEX('Task Inbox'!K$6:K$205,MATCH(ROWS($A$5:A14),'Task Inbox'!$S$6:$S$205,0)),"")</x:f>
      </x:c>
      <x:c r="J14" s="27" t="str">
        <x:f>IFERROR(INDEX('Task Inbox'!N$6:N$205,MATCH(ROWS($A$5:A14),'Task Inbox'!$S$6:$S$205,0)),"")</x:f>
      </x:c>
      <x:c r="K14" s="28" t="str">
        <x:f>IFERROR(INDEX('Task Inbox'!O$6:O$205,MATCH(ROWS($A$5:A14),'Task Inbox'!$S$6:$S$205,0)),"")</x:f>
      </x:c>
    </x:row>
    <x:row r="15">
      <x:c r="A15" s="27" t="str">
        <x:f>IFERROR(INDEX('Task Inbox'!A$6:A$205,MATCH(ROWS($A$5:A15),'Task Inbox'!$S$6:$S$205,0)),"")</x:f>
      </x:c>
      <x:c r="B15" s="27" t="str">
        <x:f>IFERROR(INDEX('Task Inbox'!B$6:B$205,MATCH(ROWS($A$5:A15),'Task Inbox'!$S$6:$S$205,0)),"")</x:f>
      </x:c>
      <x:c r="C15" s="27" t="str">
        <x:f>IFERROR(INDEX('Task Inbox'!D$6:D$205,MATCH(ROWS($A$5:A15),'Task Inbox'!$S$6:$S$205,0)),"")</x:f>
      </x:c>
      <x:c r="D15" s="27" t="str">
        <x:f>IFERROR(INDEX('Task Inbox'!E$6:E$205,MATCH(ROWS($A$5:A15),'Task Inbox'!$S$6:$S$205,0)),"")</x:f>
      </x:c>
      <x:c r="E15" s="27" t="str">
        <x:f>IFERROR(INDEX('Task Inbox'!F$6:F$205,MATCH(ROWS($A$5:A15),'Task Inbox'!$S$6:$S$205,0)),"")</x:f>
      </x:c>
      <x:c r="F15" s="27" t="str">
        <x:f>IFERROR(INDEX('Task Inbox'!G$6:G$205,MATCH(ROWS($A$5:A15),'Task Inbox'!$S$6:$S$205,0)),"")</x:f>
      </x:c>
      <x:c r="G15" s="28" t="str">
        <x:f>IFERROR(INDEX('Task Inbox'!H$6:H$205,MATCH(ROWS($A$5:A15),'Task Inbox'!$S$6:$S$205,0)),"")</x:f>
      </x:c>
      <x:c r="H15" s="30" t="str">
        <x:f>IFERROR(INDEX('Task Inbox'!J$6:J$205,MATCH(ROWS($A$5:A15),'Task Inbox'!$S$6:$S$205,0)),"")</x:f>
      </x:c>
      <x:c r="I15" s="27" t="str">
        <x:f>IFERROR(INDEX('Task Inbox'!K$6:K$205,MATCH(ROWS($A$5:A15),'Task Inbox'!$S$6:$S$205,0)),"")</x:f>
      </x:c>
      <x:c r="J15" s="27" t="str">
        <x:f>IFERROR(INDEX('Task Inbox'!N$6:N$205,MATCH(ROWS($A$5:A15),'Task Inbox'!$S$6:$S$205,0)),"")</x:f>
      </x:c>
      <x:c r="K15" s="28" t="str">
        <x:f>IFERROR(INDEX('Task Inbox'!O$6:O$205,MATCH(ROWS($A$5:A15),'Task Inbox'!$S$6:$S$205,0)),"")</x:f>
      </x:c>
    </x:row>
    <x:row r="16">
      <x:c r="A16" s="27" t="str">
        <x:f>IFERROR(INDEX('Task Inbox'!A$6:A$205,MATCH(ROWS($A$5:A16),'Task Inbox'!$S$6:$S$205,0)),"")</x:f>
      </x:c>
      <x:c r="B16" s="27" t="str">
        <x:f>IFERROR(INDEX('Task Inbox'!B$6:B$205,MATCH(ROWS($A$5:A16),'Task Inbox'!$S$6:$S$205,0)),"")</x:f>
      </x:c>
      <x:c r="C16" s="27" t="str">
        <x:f>IFERROR(INDEX('Task Inbox'!D$6:D$205,MATCH(ROWS($A$5:A16),'Task Inbox'!$S$6:$S$205,0)),"")</x:f>
      </x:c>
      <x:c r="D16" s="27" t="str">
        <x:f>IFERROR(INDEX('Task Inbox'!E$6:E$205,MATCH(ROWS($A$5:A16),'Task Inbox'!$S$6:$S$205,0)),"")</x:f>
      </x:c>
      <x:c r="E16" s="27" t="str">
        <x:f>IFERROR(INDEX('Task Inbox'!F$6:F$205,MATCH(ROWS($A$5:A16),'Task Inbox'!$S$6:$S$205,0)),"")</x:f>
      </x:c>
      <x:c r="F16" s="27" t="str">
        <x:f>IFERROR(INDEX('Task Inbox'!G$6:G$205,MATCH(ROWS($A$5:A16),'Task Inbox'!$S$6:$S$205,0)),"")</x:f>
      </x:c>
      <x:c r="G16" s="28" t="str">
        <x:f>IFERROR(INDEX('Task Inbox'!H$6:H$205,MATCH(ROWS($A$5:A16),'Task Inbox'!$S$6:$S$205,0)),"")</x:f>
      </x:c>
      <x:c r="H16" s="30" t="str">
        <x:f>IFERROR(INDEX('Task Inbox'!J$6:J$205,MATCH(ROWS($A$5:A16),'Task Inbox'!$S$6:$S$205,0)),"")</x:f>
      </x:c>
      <x:c r="I16" s="27" t="str">
        <x:f>IFERROR(INDEX('Task Inbox'!K$6:K$205,MATCH(ROWS($A$5:A16),'Task Inbox'!$S$6:$S$205,0)),"")</x:f>
      </x:c>
      <x:c r="J16" s="27" t="str">
        <x:f>IFERROR(INDEX('Task Inbox'!N$6:N$205,MATCH(ROWS($A$5:A16),'Task Inbox'!$S$6:$S$205,0)),"")</x:f>
      </x:c>
      <x:c r="K16" s="28" t="str">
        <x:f>IFERROR(INDEX('Task Inbox'!O$6:O$205,MATCH(ROWS($A$5:A16),'Task Inbox'!$S$6:$S$205,0)),"")</x:f>
      </x:c>
    </x:row>
    <x:row r="17">
      <x:c r="A17" s="27" t="str">
        <x:f>IFERROR(INDEX('Task Inbox'!A$6:A$205,MATCH(ROWS($A$5:A17),'Task Inbox'!$S$6:$S$205,0)),"")</x:f>
      </x:c>
      <x:c r="B17" s="27" t="str">
        <x:f>IFERROR(INDEX('Task Inbox'!B$6:B$205,MATCH(ROWS($A$5:A17),'Task Inbox'!$S$6:$S$205,0)),"")</x:f>
      </x:c>
      <x:c r="C17" s="27" t="str">
        <x:f>IFERROR(INDEX('Task Inbox'!D$6:D$205,MATCH(ROWS($A$5:A17),'Task Inbox'!$S$6:$S$205,0)),"")</x:f>
      </x:c>
      <x:c r="D17" s="27" t="str">
        <x:f>IFERROR(INDEX('Task Inbox'!E$6:E$205,MATCH(ROWS($A$5:A17),'Task Inbox'!$S$6:$S$205,0)),"")</x:f>
      </x:c>
      <x:c r="E17" s="27" t="str">
        <x:f>IFERROR(INDEX('Task Inbox'!F$6:F$205,MATCH(ROWS($A$5:A17),'Task Inbox'!$S$6:$S$205,0)),"")</x:f>
      </x:c>
      <x:c r="F17" s="27" t="str">
        <x:f>IFERROR(INDEX('Task Inbox'!G$6:G$205,MATCH(ROWS($A$5:A17),'Task Inbox'!$S$6:$S$205,0)),"")</x:f>
      </x:c>
      <x:c r="G17" s="28" t="str">
        <x:f>IFERROR(INDEX('Task Inbox'!H$6:H$205,MATCH(ROWS($A$5:A17),'Task Inbox'!$S$6:$S$205,0)),"")</x:f>
      </x:c>
      <x:c r="H17" s="30" t="str">
        <x:f>IFERROR(INDEX('Task Inbox'!J$6:J$205,MATCH(ROWS($A$5:A17),'Task Inbox'!$S$6:$S$205,0)),"")</x:f>
      </x:c>
      <x:c r="I17" s="27" t="str">
        <x:f>IFERROR(INDEX('Task Inbox'!K$6:K$205,MATCH(ROWS($A$5:A17),'Task Inbox'!$S$6:$S$205,0)),"")</x:f>
      </x:c>
      <x:c r="J17" s="27" t="str">
        <x:f>IFERROR(INDEX('Task Inbox'!N$6:N$205,MATCH(ROWS($A$5:A17),'Task Inbox'!$S$6:$S$205,0)),"")</x:f>
      </x:c>
      <x:c r="K17" s="28" t="str">
        <x:f>IFERROR(INDEX('Task Inbox'!O$6:O$205,MATCH(ROWS($A$5:A17),'Task Inbox'!$S$6:$S$205,0)),"")</x:f>
      </x:c>
    </x:row>
    <x:row r="18">
      <x:c r="A18" s="27" t="str">
        <x:f>IFERROR(INDEX('Task Inbox'!A$6:A$205,MATCH(ROWS($A$5:A18),'Task Inbox'!$S$6:$S$205,0)),"")</x:f>
      </x:c>
      <x:c r="B18" s="27" t="str">
        <x:f>IFERROR(INDEX('Task Inbox'!B$6:B$205,MATCH(ROWS($A$5:A18),'Task Inbox'!$S$6:$S$205,0)),"")</x:f>
      </x:c>
      <x:c r="C18" s="27" t="str">
        <x:f>IFERROR(INDEX('Task Inbox'!D$6:D$205,MATCH(ROWS($A$5:A18),'Task Inbox'!$S$6:$S$205,0)),"")</x:f>
      </x:c>
      <x:c r="D18" s="27" t="str">
        <x:f>IFERROR(INDEX('Task Inbox'!E$6:E$205,MATCH(ROWS($A$5:A18),'Task Inbox'!$S$6:$S$205,0)),"")</x:f>
      </x:c>
      <x:c r="E18" s="27" t="str">
        <x:f>IFERROR(INDEX('Task Inbox'!F$6:F$205,MATCH(ROWS($A$5:A18),'Task Inbox'!$S$6:$S$205,0)),"")</x:f>
      </x:c>
      <x:c r="F18" s="27" t="str">
        <x:f>IFERROR(INDEX('Task Inbox'!G$6:G$205,MATCH(ROWS($A$5:A18),'Task Inbox'!$S$6:$S$205,0)),"")</x:f>
      </x:c>
      <x:c r="G18" s="28" t="str">
        <x:f>IFERROR(INDEX('Task Inbox'!H$6:H$205,MATCH(ROWS($A$5:A18),'Task Inbox'!$S$6:$S$205,0)),"")</x:f>
      </x:c>
      <x:c r="H18" s="30" t="str">
        <x:f>IFERROR(INDEX('Task Inbox'!J$6:J$205,MATCH(ROWS($A$5:A18),'Task Inbox'!$S$6:$S$205,0)),"")</x:f>
      </x:c>
      <x:c r="I18" s="27" t="str">
        <x:f>IFERROR(INDEX('Task Inbox'!K$6:K$205,MATCH(ROWS($A$5:A18),'Task Inbox'!$S$6:$S$205,0)),"")</x:f>
      </x:c>
      <x:c r="J18" s="27" t="str">
        <x:f>IFERROR(INDEX('Task Inbox'!N$6:N$205,MATCH(ROWS($A$5:A18),'Task Inbox'!$S$6:$S$205,0)),"")</x:f>
      </x:c>
      <x:c r="K18" s="28" t="str">
        <x:f>IFERROR(INDEX('Task Inbox'!O$6:O$205,MATCH(ROWS($A$5:A18),'Task Inbox'!$S$6:$S$205,0)),"")</x:f>
      </x:c>
    </x:row>
    <x:row r="19">
      <x:c r="A19" s="27" t="str">
        <x:f>IFERROR(INDEX('Task Inbox'!A$6:A$205,MATCH(ROWS($A$5:A19),'Task Inbox'!$S$6:$S$205,0)),"")</x:f>
      </x:c>
      <x:c r="B19" s="27" t="str">
        <x:f>IFERROR(INDEX('Task Inbox'!B$6:B$205,MATCH(ROWS($A$5:A19),'Task Inbox'!$S$6:$S$205,0)),"")</x:f>
      </x:c>
      <x:c r="C19" s="27" t="str">
        <x:f>IFERROR(INDEX('Task Inbox'!D$6:D$205,MATCH(ROWS($A$5:A19),'Task Inbox'!$S$6:$S$205,0)),"")</x:f>
      </x:c>
      <x:c r="D19" s="27" t="str">
        <x:f>IFERROR(INDEX('Task Inbox'!E$6:E$205,MATCH(ROWS($A$5:A19),'Task Inbox'!$S$6:$S$205,0)),"")</x:f>
      </x:c>
      <x:c r="E19" s="27" t="str">
        <x:f>IFERROR(INDEX('Task Inbox'!F$6:F$205,MATCH(ROWS($A$5:A19),'Task Inbox'!$S$6:$S$205,0)),"")</x:f>
      </x:c>
      <x:c r="F19" s="27" t="str">
        <x:f>IFERROR(INDEX('Task Inbox'!G$6:G$205,MATCH(ROWS($A$5:A19),'Task Inbox'!$S$6:$S$205,0)),"")</x:f>
      </x:c>
      <x:c r="G19" s="28" t="str">
        <x:f>IFERROR(INDEX('Task Inbox'!H$6:H$205,MATCH(ROWS($A$5:A19),'Task Inbox'!$S$6:$S$205,0)),"")</x:f>
      </x:c>
      <x:c r="H19" s="30" t="str">
        <x:f>IFERROR(INDEX('Task Inbox'!J$6:J$205,MATCH(ROWS($A$5:A19),'Task Inbox'!$S$6:$S$205,0)),"")</x:f>
      </x:c>
      <x:c r="I19" s="27" t="str">
        <x:f>IFERROR(INDEX('Task Inbox'!K$6:K$205,MATCH(ROWS($A$5:A19),'Task Inbox'!$S$6:$S$205,0)),"")</x:f>
      </x:c>
      <x:c r="J19" s="27" t="str">
        <x:f>IFERROR(INDEX('Task Inbox'!N$6:N$205,MATCH(ROWS($A$5:A19),'Task Inbox'!$S$6:$S$205,0)),"")</x:f>
      </x:c>
      <x:c r="K19" s="28" t="str">
        <x:f>IFERROR(INDEX('Task Inbox'!O$6:O$205,MATCH(ROWS($A$5:A19),'Task Inbox'!$S$6:$S$205,0)),"")</x:f>
      </x:c>
    </x:row>
    <x:row r="20">
      <x:c r="A20" s="27" t="str">
        <x:f>IFERROR(INDEX('Task Inbox'!A$6:A$205,MATCH(ROWS($A$5:A20),'Task Inbox'!$S$6:$S$205,0)),"")</x:f>
      </x:c>
      <x:c r="B20" s="27" t="str">
        <x:f>IFERROR(INDEX('Task Inbox'!B$6:B$205,MATCH(ROWS($A$5:A20),'Task Inbox'!$S$6:$S$205,0)),"")</x:f>
      </x:c>
      <x:c r="C20" s="27" t="str">
        <x:f>IFERROR(INDEX('Task Inbox'!D$6:D$205,MATCH(ROWS($A$5:A20),'Task Inbox'!$S$6:$S$205,0)),"")</x:f>
      </x:c>
      <x:c r="D20" s="27" t="str">
        <x:f>IFERROR(INDEX('Task Inbox'!E$6:E$205,MATCH(ROWS($A$5:A20),'Task Inbox'!$S$6:$S$205,0)),"")</x:f>
      </x:c>
      <x:c r="E20" s="27" t="str">
        <x:f>IFERROR(INDEX('Task Inbox'!F$6:F$205,MATCH(ROWS($A$5:A20),'Task Inbox'!$S$6:$S$205,0)),"")</x:f>
      </x:c>
      <x:c r="F20" s="27" t="str">
        <x:f>IFERROR(INDEX('Task Inbox'!G$6:G$205,MATCH(ROWS($A$5:A20),'Task Inbox'!$S$6:$S$205,0)),"")</x:f>
      </x:c>
      <x:c r="G20" s="28" t="str">
        <x:f>IFERROR(INDEX('Task Inbox'!H$6:H$205,MATCH(ROWS($A$5:A20),'Task Inbox'!$S$6:$S$205,0)),"")</x:f>
      </x:c>
      <x:c r="H20" s="30" t="str">
        <x:f>IFERROR(INDEX('Task Inbox'!J$6:J$205,MATCH(ROWS($A$5:A20),'Task Inbox'!$S$6:$S$205,0)),"")</x:f>
      </x:c>
      <x:c r="I20" s="27" t="str">
        <x:f>IFERROR(INDEX('Task Inbox'!K$6:K$205,MATCH(ROWS($A$5:A20),'Task Inbox'!$S$6:$S$205,0)),"")</x:f>
      </x:c>
      <x:c r="J20" s="27" t="str">
        <x:f>IFERROR(INDEX('Task Inbox'!N$6:N$205,MATCH(ROWS($A$5:A20),'Task Inbox'!$S$6:$S$205,0)),"")</x:f>
      </x:c>
      <x:c r="K20" s="28" t="str">
        <x:f>IFERROR(INDEX('Task Inbox'!O$6:O$205,MATCH(ROWS($A$5:A20),'Task Inbox'!$S$6:$S$205,0)),"")</x:f>
      </x:c>
    </x:row>
    <x:row r="21">
      <x:c r="A21" s="27" t="str">
        <x:f>IFERROR(INDEX('Task Inbox'!A$6:A$205,MATCH(ROWS($A$5:A21),'Task Inbox'!$S$6:$S$205,0)),"")</x:f>
      </x:c>
      <x:c r="B21" s="27" t="str">
        <x:f>IFERROR(INDEX('Task Inbox'!B$6:B$205,MATCH(ROWS($A$5:A21),'Task Inbox'!$S$6:$S$205,0)),"")</x:f>
      </x:c>
      <x:c r="C21" s="27" t="str">
        <x:f>IFERROR(INDEX('Task Inbox'!D$6:D$205,MATCH(ROWS($A$5:A21),'Task Inbox'!$S$6:$S$205,0)),"")</x:f>
      </x:c>
      <x:c r="D21" s="27" t="str">
        <x:f>IFERROR(INDEX('Task Inbox'!E$6:E$205,MATCH(ROWS($A$5:A21),'Task Inbox'!$S$6:$S$205,0)),"")</x:f>
      </x:c>
      <x:c r="E21" s="27" t="str">
        <x:f>IFERROR(INDEX('Task Inbox'!F$6:F$205,MATCH(ROWS($A$5:A21),'Task Inbox'!$S$6:$S$205,0)),"")</x:f>
      </x:c>
      <x:c r="F21" s="27" t="str">
        <x:f>IFERROR(INDEX('Task Inbox'!G$6:G$205,MATCH(ROWS($A$5:A21),'Task Inbox'!$S$6:$S$205,0)),"")</x:f>
      </x:c>
      <x:c r="G21" s="28" t="str">
        <x:f>IFERROR(INDEX('Task Inbox'!H$6:H$205,MATCH(ROWS($A$5:A21),'Task Inbox'!$S$6:$S$205,0)),"")</x:f>
      </x:c>
      <x:c r="H21" s="30" t="str">
        <x:f>IFERROR(INDEX('Task Inbox'!J$6:J$205,MATCH(ROWS($A$5:A21),'Task Inbox'!$S$6:$S$205,0)),"")</x:f>
      </x:c>
      <x:c r="I21" s="27" t="str">
        <x:f>IFERROR(INDEX('Task Inbox'!K$6:K$205,MATCH(ROWS($A$5:A21),'Task Inbox'!$S$6:$S$205,0)),"")</x:f>
      </x:c>
      <x:c r="J21" s="27" t="str">
        <x:f>IFERROR(INDEX('Task Inbox'!N$6:N$205,MATCH(ROWS($A$5:A21),'Task Inbox'!$S$6:$S$205,0)),"")</x:f>
      </x:c>
      <x:c r="K21" s="28" t="str">
        <x:f>IFERROR(INDEX('Task Inbox'!O$6:O$205,MATCH(ROWS($A$5:A21),'Task Inbox'!$S$6:$S$205,0)),"")</x:f>
      </x:c>
    </x:row>
    <x:row r="22">
      <x:c r="A22" s="27" t="str">
        <x:f>IFERROR(INDEX('Task Inbox'!A$6:A$205,MATCH(ROWS($A$5:A22),'Task Inbox'!$S$6:$S$205,0)),"")</x:f>
      </x:c>
      <x:c r="B22" s="27" t="str">
        <x:f>IFERROR(INDEX('Task Inbox'!B$6:B$205,MATCH(ROWS($A$5:A22),'Task Inbox'!$S$6:$S$205,0)),"")</x:f>
      </x:c>
      <x:c r="C22" s="27" t="str">
        <x:f>IFERROR(INDEX('Task Inbox'!D$6:D$205,MATCH(ROWS($A$5:A22),'Task Inbox'!$S$6:$S$205,0)),"")</x:f>
      </x:c>
      <x:c r="D22" s="27" t="str">
        <x:f>IFERROR(INDEX('Task Inbox'!E$6:E$205,MATCH(ROWS($A$5:A22),'Task Inbox'!$S$6:$S$205,0)),"")</x:f>
      </x:c>
      <x:c r="E22" s="27" t="str">
        <x:f>IFERROR(INDEX('Task Inbox'!F$6:F$205,MATCH(ROWS($A$5:A22),'Task Inbox'!$S$6:$S$205,0)),"")</x:f>
      </x:c>
      <x:c r="F22" s="27" t="str">
        <x:f>IFERROR(INDEX('Task Inbox'!G$6:G$205,MATCH(ROWS($A$5:A22),'Task Inbox'!$S$6:$S$205,0)),"")</x:f>
      </x:c>
      <x:c r="G22" s="28" t="str">
        <x:f>IFERROR(INDEX('Task Inbox'!H$6:H$205,MATCH(ROWS($A$5:A22),'Task Inbox'!$S$6:$S$205,0)),"")</x:f>
      </x:c>
      <x:c r="H22" s="30" t="str">
        <x:f>IFERROR(INDEX('Task Inbox'!J$6:J$205,MATCH(ROWS($A$5:A22),'Task Inbox'!$S$6:$S$205,0)),"")</x:f>
      </x:c>
      <x:c r="I22" s="27" t="str">
        <x:f>IFERROR(INDEX('Task Inbox'!K$6:K$205,MATCH(ROWS($A$5:A22),'Task Inbox'!$S$6:$S$205,0)),"")</x:f>
      </x:c>
      <x:c r="J22" s="27" t="str">
        <x:f>IFERROR(INDEX('Task Inbox'!N$6:N$205,MATCH(ROWS($A$5:A22),'Task Inbox'!$S$6:$S$205,0)),"")</x:f>
      </x:c>
      <x:c r="K22" s="28" t="str">
        <x:f>IFERROR(INDEX('Task Inbox'!O$6:O$205,MATCH(ROWS($A$5:A22),'Task Inbox'!$S$6:$S$205,0)),"")</x:f>
      </x:c>
    </x:row>
    <x:row r="23">
      <x:c r="A23" s="27" t="str">
        <x:f>IFERROR(INDEX('Task Inbox'!A$6:A$205,MATCH(ROWS($A$5:A23),'Task Inbox'!$S$6:$S$205,0)),"")</x:f>
      </x:c>
      <x:c r="B23" s="27" t="str">
        <x:f>IFERROR(INDEX('Task Inbox'!B$6:B$205,MATCH(ROWS($A$5:A23),'Task Inbox'!$S$6:$S$205,0)),"")</x:f>
      </x:c>
      <x:c r="C23" s="27" t="str">
        <x:f>IFERROR(INDEX('Task Inbox'!D$6:D$205,MATCH(ROWS($A$5:A23),'Task Inbox'!$S$6:$S$205,0)),"")</x:f>
      </x:c>
      <x:c r="D23" s="27" t="str">
        <x:f>IFERROR(INDEX('Task Inbox'!E$6:E$205,MATCH(ROWS($A$5:A23),'Task Inbox'!$S$6:$S$205,0)),"")</x:f>
      </x:c>
      <x:c r="E23" s="27" t="str">
        <x:f>IFERROR(INDEX('Task Inbox'!F$6:F$205,MATCH(ROWS($A$5:A23),'Task Inbox'!$S$6:$S$205,0)),"")</x:f>
      </x:c>
      <x:c r="F23" s="27" t="str">
        <x:f>IFERROR(INDEX('Task Inbox'!G$6:G$205,MATCH(ROWS($A$5:A23),'Task Inbox'!$S$6:$S$205,0)),"")</x:f>
      </x:c>
      <x:c r="G23" s="28" t="str">
        <x:f>IFERROR(INDEX('Task Inbox'!H$6:H$205,MATCH(ROWS($A$5:A23),'Task Inbox'!$S$6:$S$205,0)),"")</x:f>
      </x:c>
      <x:c r="H23" s="30" t="str">
        <x:f>IFERROR(INDEX('Task Inbox'!J$6:J$205,MATCH(ROWS($A$5:A23),'Task Inbox'!$S$6:$S$205,0)),"")</x:f>
      </x:c>
      <x:c r="I23" s="27" t="str">
        <x:f>IFERROR(INDEX('Task Inbox'!K$6:K$205,MATCH(ROWS($A$5:A23),'Task Inbox'!$S$6:$S$205,0)),"")</x:f>
      </x:c>
      <x:c r="J23" s="27" t="str">
        <x:f>IFERROR(INDEX('Task Inbox'!N$6:N$205,MATCH(ROWS($A$5:A23),'Task Inbox'!$S$6:$S$205,0)),"")</x:f>
      </x:c>
      <x:c r="K23" s="28" t="str">
        <x:f>IFERROR(INDEX('Task Inbox'!O$6:O$205,MATCH(ROWS($A$5:A23),'Task Inbox'!$S$6:$S$205,0)),"")</x:f>
      </x:c>
    </x:row>
    <x:row r="24">
      <x:c r="A24" s="27" t="str">
        <x:f>IFERROR(INDEX('Task Inbox'!A$6:A$205,MATCH(ROWS($A$5:A24),'Task Inbox'!$S$6:$S$205,0)),"")</x:f>
      </x:c>
      <x:c r="B24" s="27" t="str">
        <x:f>IFERROR(INDEX('Task Inbox'!B$6:B$205,MATCH(ROWS($A$5:A24),'Task Inbox'!$S$6:$S$205,0)),"")</x:f>
      </x:c>
      <x:c r="C24" s="27" t="str">
        <x:f>IFERROR(INDEX('Task Inbox'!D$6:D$205,MATCH(ROWS($A$5:A24),'Task Inbox'!$S$6:$S$205,0)),"")</x:f>
      </x:c>
      <x:c r="D24" s="27" t="str">
        <x:f>IFERROR(INDEX('Task Inbox'!E$6:E$205,MATCH(ROWS($A$5:A24),'Task Inbox'!$S$6:$S$205,0)),"")</x:f>
      </x:c>
      <x:c r="E24" s="27" t="str">
        <x:f>IFERROR(INDEX('Task Inbox'!F$6:F$205,MATCH(ROWS($A$5:A24),'Task Inbox'!$S$6:$S$205,0)),"")</x:f>
      </x:c>
      <x:c r="F24" s="27" t="str">
        <x:f>IFERROR(INDEX('Task Inbox'!G$6:G$205,MATCH(ROWS($A$5:A24),'Task Inbox'!$S$6:$S$205,0)),"")</x:f>
      </x:c>
      <x:c r="G24" s="28" t="str">
        <x:f>IFERROR(INDEX('Task Inbox'!H$6:H$205,MATCH(ROWS($A$5:A24),'Task Inbox'!$S$6:$S$205,0)),"")</x:f>
      </x:c>
      <x:c r="H24" s="30" t="str">
        <x:f>IFERROR(INDEX('Task Inbox'!J$6:J$205,MATCH(ROWS($A$5:A24),'Task Inbox'!$S$6:$S$205,0)),"")</x:f>
      </x:c>
      <x:c r="I24" s="27" t="str">
        <x:f>IFERROR(INDEX('Task Inbox'!K$6:K$205,MATCH(ROWS($A$5:A24),'Task Inbox'!$S$6:$S$205,0)),"")</x:f>
      </x:c>
      <x:c r="J24" s="27" t="str">
        <x:f>IFERROR(INDEX('Task Inbox'!N$6:N$205,MATCH(ROWS($A$5:A24),'Task Inbox'!$S$6:$S$205,0)),"")</x:f>
      </x:c>
      <x:c r="K24" s="28" t="str">
        <x:f>IFERROR(INDEX('Task Inbox'!O$6:O$205,MATCH(ROWS($A$5:A24),'Task Inbox'!$S$6:$S$205,0)),"")</x:f>
      </x:c>
    </x:row>
    <x:row r="25">
      <x:c r="A25" s="27" t="str">
        <x:f>IFERROR(INDEX('Task Inbox'!A$6:A$205,MATCH(ROWS($A$5:A25),'Task Inbox'!$S$6:$S$205,0)),"")</x:f>
      </x:c>
      <x:c r="B25" s="27" t="str">
        <x:f>IFERROR(INDEX('Task Inbox'!B$6:B$205,MATCH(ROWS($A$5:A25),'Task Inbox'!$S$6:$S$205,0)),"")</x:f>
      </x:c>
      <x:c r="C25" s="27" t="str">
        <x:f>IFERROR(INDEX('Task Inbox'!D$6:D$205,MATCH(ROWS($A$5:A25),'Task Inbox'!$S$6:$S$205,0)),"")</x:f>
      </x:c>
      <x:c r="D25" s="27" t="str">
        <x:f>IFERROR(INDEX('Task Inbox'!E$6:E$205,MATCH(ROWS($A$5:A25),'Task Inbox'!$S$6:$S$205,0)),"")</x:f>
      </x:c>
      <x:c r="E25" s="27" t="str">
        <x:f>IFERROR(INDEX('Task Inbox'!F$6:F$205,MATCH(ROWS($A$5:A25),'Task Inbox'!$S$6:$S$205,0)),"")</x:f>
      </x:c>
      <x:c r="F25" s="27" t="str">
        <x:f>IFERROR(INDEX('Task Inbox'!G$6:G$205,MATCH(ROWS($A$5:A25),'Task Inbox'!$S$6:$S$205,0)),"")</x:f>
      </x:c>
      <x:c r="G25" s="28" t="str">
        <x:f>IFERROR(INDEX('Task Inbox'!H$6:H$205,MATCH(ROWS($A$5:A25),'Task Inbox'!$S$6:$S$205,0)),"")</x:f>
      </x:c>
      <x:c r="H25" s="30" t="str">
        <x:f>IFERROR(INDEX('Task Inbox'!J$6:J$205,MATCH(ROWS($A$5:A25),'Task Inbox'!$S$6:$S$205,0)),"")</x:f>
      </x:c>
      <x:c r="I25" s="27" t="str">
        <x:f>IFERROR(INDEX('Task Inbox'!K$6:K$205,MATCH(ROWS($A$5:A25),'Task Inbox'!$S$6:$S$205,0)),"")</x:f>
      </x:c>
      <x:c r="J25" s="27" t="str">
        <x:f>IFERROR(INDEX('Task Inbox'!N$6:N$205,MATCH(ROWS($A$5:A25),'Task Inbox'!$S$6:$S$205,0)),"")</x:f>
      </x:c>
      <x:c r="K25" s="28" t="str">
        <x:f>IFERROR(INDEX('Task Inbox'!O$6:O$205,MATCH(ROWS($A$5:A25),'Task Inbox'!$S$6:$S$205,0)),"")</x:f>
      </x:c>
    </x:row>
    <x:row r="26">
      <x:c r="A26" s="27" t="str">
        <x:f>IFERROR(INDEX('Task Inbox'!A$6:A$205,MATCH(ROWS($A$5:A26),'Task Inbox'!$S$6:$S$205,0)),"")</x:f>
      </x:c>
      <x:c r="B26" s="27" t="str">
        <x:f>IFERROR(INDEX('Task Inbox'!B$6:B$205,MATCH(ROWS($A$5:A26),'Task Inbox'!$S$6:$S$205,0)),"")</x:f>
      </x:c>
      <x:c r="C26" s="27" t="str">
        <x:f>IFERROR(INDEX('Task Inbox'!D$6:D$205,MATCH(ROWS($A$5:A26),'Task Inbox'!$S$6:$S$205,0)),"")</x:f>
      </x:c>
      <x:c r="D26" s="27" t="str">
        <x:f>IFERROR(INDEX('Task Inbox'!E$6:E$205,MATCH(ROWS($A$5:A26),'Task Inbox'!$S$6:$S$205,0)),"")</x:f>
      </x:c>
      <x:c r="E26" s="27" t="str">
        <x:f>IFERROR(INDEX('Task Inbox'!F$6:F$205,MATCH(ROWS($A$5:A26),'Task Inbox'!$S$6:$S$205,0)),"")</x:f>
      </x:c>
      <x:c r="F26" s="27" t="str">
        <x:f>IFERROR(INDEX('Task Inbox'!G$6:G$205,MATCH(ROWS($A$5:A26),'Task Inbox'!$S$6:$S$205,0)),"")</x:f>
      </x:c>
      <x:c r="G26" s="28" t="str">
        <x:f>IFERROR(INDEX('Task Inbox'!H$6:H$205,MATCH(ROWS($A$5:A26),'Task Inbox'!$S$6:$S$205,0)),"")</x:f>
      </x:c>
      <x:c r="H26" s="30" t="str">
        <x:f>IFERROR(INDEX('Task Inbox'!J$6:J$205,MATCH(ROWS($A$5:A26),'Task Inbox'!$S$6:$S$205,0)),"")</x:f>
      </x:c>
      <x:c r="I26" s="27" t="str">
        <x:f>IFERROR(INDEX('Task Inbox'!K$6:K$205,MATCH(ROWS($A$5:A26),'Task Inbox'!$S$6:$S$205,0)),"")</x:f>
      </x:c>
      <x:c r="J26" s="27" t="str">
        <x:f>IFERROR(INDEX('Task Inbox'!N$6:N$205,MATCH(ROWS($A$5:A26),'Task Inbox'!$S$6:$S$205,0)),"")</x:f>
      </x:c>
      <x:c r="K26" s="28" t="str">
        <x:f>IFERROR(INDEX('Task Inbox'!O$6:O$205,MATCH(ROWS($A$5:A26),'Task Inbox'!$S$6:$S$205,0)),"")</x:f>
      </x:c>
    </x:row>
    <x:row r="27">
      <x:c r="A27" s="27" t="str">
        <x:f>IFERROR(INDEX('Task Inbox'!A$6:A$205,MATCH(ROWS($A$5:A27),'Task Inbox'!$S$6:$S$205,0)),"")</x:f>
      </x:c>
      <x:c r="B27" s="27" t="str">
        <x:f>IFERROR(INDEX('Task Inbox'!B$6:B$205,MATCH(ROWS($A$5:A27),'Task Inbox'!$S$6:$S$205,0)),"")</x:f>
      </x:c>
      <x:c r="C27" s="27" t="str">
        <x:f>IFERROR(INDEX('Task Inbox'!D$6:D$205,MATCH(ROWS($A$5:A27),'Task Inbox'!$S$6:$S$205,0)),"")</x:f>
      </x:c>
      <x:c r="D27" s="27" t="str">
        <x:f>IFERROR(INDEX('Task Inbox'!E$6:E$205,MATCH(ROWS($A$5:A27),'Task Inbox'!$S$6:$S$205,0)),"")</x:f>
      </x:c>
      <x:c r="E27" s="27" t="str">
        <x:f>IFERROR(INDEX('Task Inbox'!F$6:F$205,MATCH(ROWS($A$5:A27),'Task Inbox'!$S$6:$S$205,0)),"")</x:f>
      </x:c>
      <x:c r="F27" s="27" t="str">
        <x:f>IFERROR(INDEX('Task Inbox'!G$6:G$205,MATCH(ROWS($A$5:A27),'Task Inbox'!$S$6:$S$205,0)),"")</x:f>
      </x:c>
      <x:c r="G27" s="28" t="str">
        <x:f>IFERROR(INDEX('Task Inbox'!H$6:H$205,MATCH(ROWS($A$5:A27),'Task Inbox'!$S$6:$S$205,0)),"")</x:f>
      </x:c>
      <x:c r="H27" s="30" t="str">
        <x:f>IFERROR(INDEX('Task Inbox'!J$6:J$205,MATCH(ROWS($A$5:A27),'Task Inbox'!$S$6:$S$205,0)),"")</x:f>
      </x:c>
      <x:c r="I27" s="27" t="str">
        <x:f>IFERROR(INDEX('Task Inbox'!K$6:K$205,MATCH(ROWS($A$5:A27),'Task Inbox'!$S$6:$S$205,0)),"")</x:f>
      </x:c>
      <x:c r="J27" s="27" t="str">
        <x:f>IFERROR(INDEX('Task Inbox'!N$6:N$205,MATCH(ROWS($A$5:A27),'Task Inbox'!$S$6:$S$205,0)),"")</x:f>
      </x:c>
      <x:c r="K27" s="28" t="str">
        <x:f>IFERROR(INDEX('Task Inbox'!O$6:O$205,MATCH(ROWS($A$5:A27),'Task Inbox'!$S$6:$S$205,0)),"")</x:f>
      </x:c>
    </x:row>
    <x:row r="28">
      <x:c r="A28" s="27" t="str">
        <x:f>IFERROR(INDEX('Task Inbox'!A$6:A$205,MATCH(ROWS($A$5:A28),'Task Inbox'!$S$6:$S$205,0)),"")</x:f>
      </x:c>
      <x:c r="B28" s="27" t="str">
        <x:f>IFERROR(INDEX('Task Inbox'!B$6:B$205,MATCH(ROWS($A$5:A28),'Task Inbox'!$S$6:$S$205,0)),"")</x:f>
      </x:c>
      <x:c r="C28" s="27" t="str">
        <x:f>IFERROR(INDEX('Task Inbox'!D$6:D$205,MATCH(ROWS($A$5:A28),'Task Inbox'!$S$6:$S$205,0)),"")</x:f>
      </x:c>
      <x:c r="D28" s="27" t="str">
        <x:f>IFERROR(INDEX('Task Inbox'!E$6:E$205,MATCH(ROWS($A$5:A28),'Task Inbox'!$S$6:$S$205,0)),"")</x:f>
      </x:c>
      <x:c r="E28" s="27" t="str">
        <x:f>IFERROR(INDEX('Task Inbox'!F$6:F$205,MATCH(ROWS($A$5:A28),'Task Inbox'!$S$6:$S$205,0)),"")</x:f>
      </x:c>
      <x:c r="F28" s="27" t="str">
        <x:f>IFERROR(INDEX('Task Inbox'!G$6:G$205,MATCH(ROWS($A$5:A28),'Task Inbox'!$S$6:$S$205,0)),"")</x:f>
      </x:c>
      <x:c r="G28" s="28" t="str">
        <x:f>IFERROR(INDEX('Task Inbox'!H$6:H$205,MATCH(ROWS($A$5:A28),'Task Inbox'!$S$6:$S$205,0)),"")</x:f>
      </x:c>
      <x:c r="H28" s="30" t="str">
        <x:f>IFERROR(INDEX('Task Inbox'!J$6:J$205,MATCH(ROWS($A$5:A28),'Task Inbox'!$S$6:$S$205,0)),"")</x:f>
      </x:c>
      <x:c r="I28" s="27" t="str">
        <x:f>IFERROR(INDEX('Task Inbox'!K$6:K$205,MATCH(ROWS($A$5:A28),'Task Inbox'!$S$6:$S$205,0)),"")</x:f>
      </x:c>
      <x:c r="J28" s="27" t="str">
        <x:f>IFERROR(INDEX('Task Inbox'!N$6:N$205,MATCH(ROWS($A$5:A28),'Task Inbox'!$S$6:$S$205,0)),"")</x:f>
      </x:c>
      <x:c r="K28" s="28" t="str">
        <x:f>IFERROR(INDEX('Task Inbox'!O$6:O$205,MATCH(ROWS($A$5:A28),'Task Inbox'!$S$6:$S$205,0)),"")</x:f>
      </x:c>
    </x:row>
    <x:row r="29">
      <x:c r="A29" s="27" t="str">
        <x:f>IFERROR(INDEX('Task Inbox'!A$6:A$205,MATCH(ROWS($A$5:A29),'Task Inbox'!$S$6:$S$205,0)),"")</x:f>
      </x:c>
      <x:c r="B29" s="27" t="str">
        <x:f>IFERROR(INDEX('Task Inbox'!B$6:B$205,MATCH(ROWS($A$5:A29),'Task Inbox'!$S$6:$S$205,0)),"")</x:f>
      </x:c>
      <x:c r="C29" s="27" t="str">
        <x:f>IFERROR(INDEX('Task Inbox'!D$6:D$205,MATCH(ROWS($A$5:A29),'Task Inbox'!$S$6:$S$205,0)),"")</x:f>
      </x:c>
      <x:c r="D29" s="27" t="str">
        <x:f>IFERROR(INDEX('Task Inbox'!E$6:E$205,MATCH(ROWS($A$5:A29),'Task Inbox'!$S$6:$S$205,0)),"")</x:f>
      </x:c>
      <x:c r="E29" s="27" t="str">
        <x:f>IFERROR(INDEX('Task Inbox'!F$6:F$205,MATCH(ROWS($A$5:A29),'Task Inbox'!$S$6:$S$205,0)),"")</x:f>
      </x:c>
      <x:c r="F29" s="27" t="str">
        <x:f>IFERROR(INDEX('Task Inbox'!G$6:G$205,MATCH(ROWS($A$5:A29),'Task Inbox'!$S$6:$S$205,0)),"")</x:f>
      </x:c>
      <x:c r="G29" s="28" t="str">
        <x:f>IFERROR(INDEX('Task Inbox'!H$6:H$205,MATCH(ROWS($A$5:A29),'Task Inbox'!$S$6:$S$205,0)),"")</x:f>
      </x:c>
      <x:c r="H29" s="30" t="str">
        <x:f>IFERROR(INDEX('Task Inbox'!J$6:J$205,MATCH(ROWS($A$5:A29),'Task Inbox'!$S$6:$S$205,0)),"")</x:f>
      </x:c>
      <x:c r="I29" s="27" t="str">
        <x:f>IFERROR(INDEX('Task Inbox'!K$6:K$205,MATCH(ROWS($A$5:A29),'Task Inbox'!$S$6:$S$205,0)),"")</x:f>
      </x:c>
      <x:c r="J29" s="27" t="str">
        <x:f>IFERROR(INDEX('Task Inbox'!N$6:N$205,MATCH(ROWS($A$5:A29),'Task Inbox'!$S$6:$S$205,0)),"")</x:f>
      </x:c>
      <x:c r="K29" s="28" t="str">
        <x:f>IFERROR(INDEX('Task Inbox'!O$6:O$205,MATCH(ROWS($A$5:A29),'Task Inbox'!$S$6:$S$205,0)),"")</x:f>
      </x:c>
    </x:row>
    <x:row r="30">
      <x:c r="A30" s="27" t="str">
        <x:f>IFERROR(INDEX('Task Inbox'!A$6:A$205,MATCH(ROWS($A$5:A30),'Task Inbox'!$S$6:$S$205,0)),"")</x:f>
      </x:c>
      <x:c r="B30" s="27" t="str">
        <x:f>IFERROR(INDEX('Task Inbox'!B$6:B$205,MATCH(ROWS($A$5:A30),'Task Inbox'!$S$6:$S$205,0)),"")</x:f>
      </x:c>
      <x:c r="C30" s="27" t="str">
        <x:f>IFERROR(INDEX('Task Inbox'!D$6:D$205,MATCH(ROWS($A$5:A30),'Task Inbox'!$S$6:$S$205,0)),"")</x:f>
      </x:c>
      <x:c r="D30" s="27" t="str">
        <x:f>IFERROR(INDEX('Task Inbox'!E$6:E$205,MATCH(ROWS($A$5:A30),'Task Inbox'!$S$6:$S$205,0)),"")</x:f>
      </x:c>
      <x:c r="E30" s="27" t="str">
        <x:f>IFERROR(INDEX('Task Inbox'!F$6:F$205,MATCH(ROWS($A$5:A30),'Task Inbox'!$S$6:$S$205,0)),"")</x:f>
      </x:c>
      <x:c r="F30" s="27" t="str">
        <x:f>IFERROR(INDEX('Task Inbox'!G$6:G$205,MATCH(ROWS($A$5:A30),'Task Inbox'!$S$6:$S$205,0)),"")</x:f>
      </x:c>
      <x:c r="G30" s="28" t="str">
        <x:f>IFERROR(INDEX('Task Inbox'!H$6:H$205,MATCH(ROWS($A$5:A30),'Task Inbox'!$S$6:$S$205,0)),"")</x:f>
      </x:c>
      <x:c r="H30" s="30" t="str">
        <x:f>IFERROR(INDEX('Task Inbox'!J$6:J$205,MATCH(ROWS($A$5:A30),'Task Inbox'!$S$6:$S$205,0)),"")</x:f>
      </x:c>
      <x:c r="I30" s="27" t="str">
        <x:f>IFERROR(INDEX('Task Inbox'!K$6:K$205,MATCH(ROWS($A$5:A30),'Task Inbox'!$S$6:$S$205,0)),"")</x:f>
      </x:c>
      <x:c r="J30" s="27" t="str">
        <x:f>IFERROR(INDEX('Task Inbox'!N$6:N$205,MATCH(ROWS($A$5:A30),'Task Inbox'!$S$6:$S$205,0)),"")</x:f>
      </x:c>
      <x:c r="K30" s="28" t="str">
        <x:f>IFERROR(INDEX('Task Inbox'!O$6:O$205,MATCH(ROWS($A$5:A30),'Task Inbox'!$S$6:$S$205,0)),"")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4.4399995803833" hidden="0" customWidth="1"/>
    <x:col min="3" max="3" width="14.4399995803833" hidden="0" customWidth="1"/>
    <x:col min="4" max="4" width="13.329999923706055" hidden="0" customWidth="1"/>
    <x:col min="5" max="5" width="3.109999895095825" hidden="0" customWidth="1"/>
    <x:col min="6" max="6" width="21.110000610351562" hidden="0" customWidth="1"/>
    <x:col min="7" max="7" width="15.5600004196167" hidden="0" customWidth="1"/>
    <x:col min="8" max="8" width="3.109999895095825" hidden="0" customWidth="1"/>
    <x:col min="9" max="9" width="15.5600004196167" hidden="0" customWidth="1"/>
    <x:col min="10" max="10" width="8.890000343322754" hidden="0" customWidth="1"/>
  </x:cols>
  <x:sheetData>
    <x:row r="1" ht="31.5" customHeight="1">
      <x:c r="A1" s="2" t="str">
        <x:v>Settings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>
      <x:c r="A2" s="22" t="str">
        <x:v>Maintain fixed values here. Dropdowns in the workbook reference these lists.</x:v>
      </x:c>
      <x:c r="B2" s="23"/>
      <x:c r="C2" s="23"/>
      <x:c r="D2" s="23"/>
      <x:c r="E2" s="23"/>
      <x:c r="F2" s="23"/>
      <x:c r="G2" s="23"/>
      <x:c r="H2" s="23"/>
      <x:c r="I2" s="23"/>
      <x:c r="J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24" t="str">
        <x:v>Status</x:v>
      </x:c>
      <x:c r="B4" s="24" t="str">
        <x:v>Priority</x:v>
      </x:c>
      <x:c r="C4" s="24" t="str">
        <x:v>Task Type</x:v>
      </x:c>
      <x:c r="D4" s="24" t="str">
        <x:v>Cadence</x:v>
      </x:c>
      <x:c r="E4" s="25"/>
      <x:c r="F4" s="24" t="str">
        <x:v>Project</x:v>
      </x:c>
      <x:c r="G4" s="24" t="str">
        <x:v>Project Owner</x:v>
      </x:c>
      <x:c r="H4" s="25"/>
      <x:c r="I4" s="24" t="str">
        <x:v>Owner List</x:v>
      </x:c>
      <x:c r="J4" s="23"/>
    </x:row>
    <x:row r="5">
      <x:c r="A5" s="25" t="str">
        <x:v>Not Started</x:v>
      </x:c>
      <x:c r="B5" s="25" t="str">
        <x:v>P0 Critical</x:v>
      </x:c>
      <x:c r="C5" s="25" t="str">
        <x:v>Personal</x:v>
      </x:c>
      <x:c r="D5" s="25" t="str">
        <x:v>One-time</x:v>
      </x:c>
      <x:c r="E5" s="25"/>
      <x:c r="F5" s="25" t="str">
        <x:v>Weekly Ops</x:v>
      </x:c>
      <x:c r="G5" s="25" t="str">
        <x:v>Me</x:v>
      </x:c>
      <x:c r="H5" s="25"/>
      <x:c r="I5" s="25" t="str">
        <x:v>Me</x:v>
      </x:c>
      <x:c r="J5" s="23"/>
    </x:row>
    <x:row r="6">
      <x:c r="A6" s="25" t="str">
        <x:v>In Progress</x:v>
      </x:c>
      <x:c r="B6" s="25" t="str">
        <x:v>P1 High</x:v>
      </x:c>
      <x:c r="C6" s="25" t="str">
        <x:v>Team</x:v>
      </x:c>
      <x:c r="D6" s="25" t="str">
        <x:v>Daily</x:v>
      </x:c>
      <x:c r="E6" s="25"/>
      <x:c r="F6" s="25" t="str">
        <x:v>Customer Delivery</x:v>
      </x:c>
      <x:c r="G6" s="25" t="str">
        <x:v>Alice</x:v>
      </x:c>
      <x:c r="H6" s="25"/>
      <x:c r="I6" s="25" t="str">
        <x:v>Alice</x:v>
      </x:c>
      <x:c r="J6" s="23"/>
    </x:row>
    <x:row r="7">
      <x:c r="A7" s="25" t="str">
        <x:v>Waiting on Others</x:v>
      </x:c>
      <x:c r="B7" s="25" t="str">
        <x:v>P2 Medium</x:v>
      </x:c>
      <x:c r="C7" s="25" t="str">
        <x:v>Project</x:v>
      </x:c>
      <x:c r="D7" s="25" t="str">
        <x:v>Weekly</x:v>
      </x:c>
      <x:c r="E7" s="25"/>
      <x:c r="F7" s="25" t="str">
        <x:v>Product Improvements</x:v>
      </x:c>
      <x:c r="G7" s="25" t="str">
        <x:v>Ben</x:v>
      </x:c>
      <x:c r="H7" s="25"/>
      <x:c r="I7" s="25" t="str">
        <x:v>Ben</x:v>
      </x:c>
      <x:c r="J7" s="23"/>
    </x:row>
    <x:row r="8">
      <x:c r="A8" s="25" t="str">
        <x:v>Blocked</x:v>
      </x:c>
      <x:c r="B8" s="25" t="str">
        <x:v>P3 Low</x:v>
      </x:c>
      <x:c r="C8" s="25" t="str">
        <x:v>Meeting</x:v>
      </x:c>
      <x:c r="D8" s="25" t="str">
        <x:v>Monthly</x:v>
      </x:c>
      <x:c r="E8" s="25"/>
      <x:c r="F8" s="25" t="str">
        <x:v>Team Management</x:v>
      </x:c>
      <x:c r="G8" s="25" t="str">
        <x:v>Me</x:v>
      </x:c>
      <x:c r="H8" s="25"/>
      <x:c r="I8" s="25" t="str">
        <x:v>Carla</x:v>
      </x:c>
      <x:c r="J8" s="23"/>
    </x:row>
    <x:row r="9">
      <x:c r="A9" s="25" t="str">
        <x:v>Scheduled</x:v>
      </x:c>
      <x:c r="B9" s="25"/>
      <x:c r="C9" s="25" t="str">
        <x:v>Decision</x:v>
      </x:c>
      <x:c r="D9" s="25" t="str">
        <x:v>Quarterly</x:v>
      </x:c>
      <x:c r="E9" s="25"/>
      <x:c r="F9" s="25" t="str">
        <x:v>Hiring</x:v>
      </x:c>
      <x:c r="G9" s="25" t="str">
        <x:v>HR</x:v>
      </x:c>
      <x:c r="H9" s="25"/>
      <x:c r="I9" s="25" t="str">
        <x:v>David</x:v>
      </x:c>
      <x:c r="J9" s="23"/>
    </x:row>
    <x:row r="10">
      <x:c r="A10" s="25" t="str">
        <x:v>Done</x:v>
      </x:c>
      <x:c r="B10" s="25"/>
      <x:c r="C10" s="25" t="str">
        <x:v>Follow-up</x:v>
      </x:c>
      <x:c r="D10" s="25"/>
      <x:c r="E10" s="25"/>
      <x:c r="F10" s="25" t="str">
        <x:v>Budget Planning</x:v>
      </x:c>
      <x:c r="G10" s="25" t="str">
        <x:v>Finance</x:v>
      </x:c>
      <x:c r="H10" s="25"/>
      <x:c r="I10" s="25" t="str">
        <x:v>Finance</x:v>
      </x:c>
      <x:c r="J10" s="23"/>
    </x:row>
    <x:row r="11">
      <x:c r="A11" s="25" t="str">
        <x:v>Canceled</x:v>
      </x:c>
      <x:c r="B11" s="25"/>
      <x:c r="C11" s="25" t="str">
        <x:v>Admin</x:v>
      </x:c>
      <x:c r="D11" s="25"/>
      <x:c r="E11" s="25"/>
      <x:c r="F11" s="25" t="str">
        <x:v>Process Optimization</x:v>
      </x:c>
      <x:c r="G11" s="25" t="str">
        <x:v>Product</x:v>
      </x:c>
      <x:c r="H11" s="25"/>
      <x:c r="I11" s="25" t="str">
        <x:v>Product</x:v>
      </x:c>
      <x:c r="J11" s="23"/>
    </x:row>
    <x:row r="12">
      <x:c r="A12" s="25"/>
      <x:c r="B12" s="25"/>
      <x:c r="C12" s="25" t="str">
        <x:v>Risk</x:v>
      </x:c>
      <x:c r="D12" s="25"/>
      <x:c r="E12" s="25"/>
      <x:c r="F12" s="25" t="str">
        <x:v>Personal Management</x:v>
      </x:c>
      <x:c r="G12" s="25" t="str">
        <x:v>Me</x:v>
      </x:c>
      <x:c r="H12" s="25"/>
      <x:c r="I12" s="25" t="str">
        <x:v>HR</x:v>
      </x:c>
      <x:c r="J12" s="23"/>
    </x:row>
    <x:row r="13">
      <x:c r="A13" s="25"/>
      <x:c r="B13" s="25"/>
      <x:c r="C13" s="25"/>
      <x:c r="D13" s="25"/>
      <x:c r="E13" s="25"/>
      <x:c r="F13" s="25" t="str">
        <x:v>Cross-functional</x:v>
      </x:c>
      <x:c r="G13" s="25" t="str">
        <x:v>Me</x:v>
      </x:c>
      <x:c r="H13" s="25"/>
      <x:c r="I13" s="25" t="str">
        <x:v>Sales</x:v>
      </x:c>
      <x:c r="J13" s="23"/>
    </x:row>
    <x:row r="14">
      <x:c r="A14" s="25"/>
      <x:c r="B14" s="25"/>
      <x:c r="C14" s="25"/>
      <x:c r="D14" s="25"/>
      <x:c r="E14" s="25"/>
      <x:c r="F14" s="25" t="str">
        <x:v>Risk Handling</x:v>
      </x:c>
      <x:c r="G14" s="25" t="str">
        <x:v>Me</x:v>
      </x:c>
      <x:c r="H14" s="25"/>
      <x:c r="I14" s="25" t="str">
        <x:v>Legal</x:v>
      </x:c>
      <x:c r="J14" s="23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3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3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3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3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3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3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3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3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3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3"/>
    </x:row>
  </x:sheetData>
  <x:pageMargins left="0.7" right="0.7" top="0.75" bottom="0.75" header="0.3" footer="0.3"/>
</x:worksheet>
</file>