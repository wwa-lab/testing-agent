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9a614db2b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1e900a9fd594ced"/>
    <x:sheet xmlns:r="http://schemas.openxmlformats.org/officeDocument/2006/relationships" name="Task Inbox" sheetId="2" r:id="Ra9cf6868308e4d83"/>
    <x:sheet xmlns:r="http://schemas.openxmlformats.org/officeDocument/2006/relationships" name="Daily Plan" sheetId="3" r:id="R1a5467199b334eaa"/>
    <x:sheet xmlns:r="http://schemas.openxmlformats.org/officeDocument/2006/relationships" name="Projects" sheetId="4" r:id="R6764c6e9939e45ad"/>
    <x:sheet xmlns:r="http://schemas.openxmlformats.org/officeDocument/2006/relationships" name="Delegated Waiting" sheetId="5" r:id="Rff9c9aaae3d143ea"/>
    <x:sheet xmlns:r="http://schemas.openxmlformats.org/officeDocument/2006/relationships" name="Settings" sheetId="6" r:id="R87ff468c5e16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10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667085"/>
      <x:name val="Carlito"/>
    </x:font>
    <x:font>
      <x:b/>
      <x:sz val="11"/>
      <x:color rgb="FF172033"/>
      <x:name val="Carlito"/>
    </x:font>
    <x:font>
      <x:b/>
      <x:sz val="1"/>
      <x:color rgb="FFFFFFFF"/>
      <x:name val="Carlito"/>
    </x:font>
    <x:font>
      <x:sz val="1"/>
      <x:color rgb="FFFFFFFF"/>
      <x:name val="Carlito"/>
    </x:font>
    <x:font>
      <x:b/>
      <x:sz val="11"/>
      <x:color rgb="FFFFFFFF"/>
      <x:name val="Carlito"/>
    </x:font>
    <x:font>
      <x:b/>
      <x:sz val="10"/>
      <x:color rgb="FF172033"/>
      <x:name val="Aptos"/>
    </x:font>
    <x:font>
      <x:sz val="10"/>
      <x:color rgb="FF172033"/>
      <x:name val="Aptos"/>
    </x:font>
    <x:font>
      <x:i/>
      <x:sz val="10"/>
      <x:color rgb="FF172033"/>
      <x:name val="Aptos"/>
    </x:font>
  </x:fonts>
  <x:fills count="2">
    <x:fill>
      <x:patternFill patternType="none"/>
    </x:fill>
    <x:fill>
      <x:patternFill patternType="gray125"/>
    </x:fill>
  </x:fills>
  <x:borders count="3">
    <x:border/>
    <x:border>
      <x:bottom/>
    </x:border>
    <x:border>
      <x:left/>
      <x:right/>
      <x:top/>
      <x:bottom/>
    </x:border>
  </x:borders>
  <x:cellStyleXfs count="1">
    <x:xf numFmtId="0" fontId="0" fillId="0" borderId="0"/>
  </x:cellStyleXfs>
  <x:cellXfs count="3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vertical="center" wrapText="1"/>
    </x:xf>
    <x:xf numFmtId="0" fontId="3" borderId="2" xfId="0" applyNumberFormat="1" applyFont="1" applyFill="0" applyBorder="1" applyAlignment="1">
      <x:alignment vertical="center" wrapText="1"/>
    </x:xf>
    <x:xf numFmtId="0" fontId="0" borderId="2" xfId="0" applyNumberFormat="1" applyFont="1" applyFill="0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borderId="1" xfId="0" applyNumberFormat="1" applyFont="1" applyFill="0" applyBorder="1" applyAlignment="1">
      <x:alignment vertical="center" wrapText="1"/>
    </x:xf>
    <x:xf numFmtId="0" fontId="5" fillId="0" borderId="0" xfId="0" applyNumberFormat="1" applyFont="1" applyFill="1" applyBorder="1"/>
    <x:xf numFmtId="0" fontId="5" borderId="0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5" borderId="0" xfId="0" applyNumberFormat="1" applyFont="1" applyFill="0" applyBorder="1" applyAlignment="1">
      <x:alignment wrapText="1"/>
    </x:xf>
    <x:xf numFmtId="0" fontId="6" borderId="0" xfId="0" applyNumberFormat="1" applyFont="1" applyFill="0" applyBorder="1"/>
    <x:xf numFmtId="0" fontId="7" borderId="0" xfId="0" applyNumberFormat="1" applyFont="1" applyFill="0" applyBorder="1"/>
    <x:xf numFmtId="0" fontId="8" borderId="0" xfId="0" applyNumberFormat="1" applyFont="1" applyFill="0" applyBorder="1"/>
    <x:xf numFmtId="0" fontId="9" borderId="0" xfId="0" applyNumberFormat="1" applyFont="1" applyFill="0" applyBorder="1"/>
    <x:xf numFmtId="0" fontId="8" fillId="0" borderId="0" xfId="0" applyNumberFormat="1" applyFont="1" applyFill="1" applyBorder="1"/>
    <x:xf numFmtId="0" fontId="7" borderId="2" xfId="0" applyNumberFormat="1" applyFont="1" applyFill="0" applyBorder="1" applyAlignment="1">
      <x:alignment vertical="center" wrapText="1"/>
    </x:xf>
    <x:xf numFmtId="0" fontId="8" borderId="2" xfId="0" applyNumberFormat="1" applyFont="1" applyFill="0" applyBorder="1"/>
    <x:xf numFmtId="0" fontId="7" borderId="1" xfId="0" applyNumberFormat="1" applyFont="1" applyFill="0" applyBorder="1" applyAlignment="1">
      <x:alignment vertical="center" wrapText="1"/>
    </x:xf>
    <x:xf numFmtId="0" fontId="8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0" fontId="8" borderId="0" xfId="0" applyNumberFormat="1" applyFont="1" applyFill="0" applyBorder="1" applyAlignment="1">
      <x:alignment wrapText="1"/>
    </x:xf>
    <x:xf numFmtId="200" fontId="8" fillId="0" borderId="0" xfId="0" applyNumberFormat="1" applyFont="1" applyFill="1" applyBorder="1"/>
    <x:xf numFmtId="201" fontId="8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91B1B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4ec410c45436c" /><Relationship Type="http://schemas.openxmlformats.org/officeDocument/2006/relationships/theme" Target="/xl/theme/theme1.xml" Id="Rd48e8531e2444af4" /><Relationship Type="http://schemas.openxmlformats.org/officeDocument/2006/relationships/sharedStrings" Target="/xl/sharedStrings.xml" Id="R83373201add64696" /><Relationship Type="http://schemas.openxmlformats.org/officeDocument/2006/relationships/worksheet" Target="/xl/worksheets/sheet1.xml" Id="Rd1e900a9fd594ced" /><Relationship Type="http://schemas.openxmlformats.org/officeDocument/2006/relationships/worksheet" Target="/xl/worksheets/sheet2.xml" Id="Ra9cf6868308e4d83" /><Relationship Type="http://schemas.openxmlformats.org/officeDocument/2006/relationships/worksheet" Target="/xl/worksheets/sheet3.xml" Id="R1a5467199b334eaa" /><Relationship Type="http://schemas.openxmlformats.org/officeDocument/2006/relationships/worksheet" Target="/xl/worksheets/sheet4.xml" Id="R6764c6e9939e45ad" /><Relationship Type="http://schemas.openxmlformats.org/officeDocument/2006/relationships/worksheet" Target="/xl/worksheets/sheet5.xml" Id="Rff9c9aaae3d143ea" /><Relationship Type="http://schemas.openxmlformats.org/officeDocument/2006/relationships/worksheet" Target="/xl/worksheets/sheet6.xml" Id="R87ff468c5e1647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3728bf025f4bc8" /><Relationship Type="http://schemas.openxmlformats.org/officeDocument/2006/relationships/chart" Target="/xl/drawings/charts/chart2.xml" Id="Rb35bb8a27a1f49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'Dashboard'!$E$5:$E$11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Tasks by Priority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Open</c:v>
          </c:tx>
          <c:cat>
            <c:strRef>
              <c:f>'Dashboard'!$G$5:$G$8</c:f>
              <c:strCache>
                <c:ptCount val="0"/>
              </c:strCache>
            </c:strRef>
          </c:cat>
          <c:val>
            <c:numRef>
              <c:f>'Dashboard'!$H$5:$H$8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13</xdr:col>
      <xdr:colOff>0</xdr:colOff>
      <xdr:row>11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3728bf025f4bc8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5bb8a27a1f49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InboxTable" displayName="TaskInboxTable" ref="A5:S505" headerRowCount="1">
  <x:tableColumns count="19">
    <x:tableColumn id="1" name="ID"/>
    <x:tableColumn id="2" name="Task"/>
    <x:tableColumn id="3" name="Type"/>
    <x:tableColumn id="4" name="Project"/>
    <x:tableColumn id="5" name="Owner"/>
    <x:tableColumn id="6" name="Priority"/>
    <x:tableColumn id="7" name="Status"/>
    <x:tableColumn id="8" name="Due Date"/>
    <x:tableColumn id="9" name="Effort (h)"/>
    <x:tableColumn id="10" name="Progress"/>
    <x:tableColumn id="11" name="Next Step"/>
    <x:tableColumn id="12" name="Today?"/>
    <x:tableColumn id="13" name="Delegated?"/>
    <x:tableColumn id="14" name="Blocker"/>
    <x:tableColumn id="15" name="Last Updated"/>
    <x:tableColumn id="16" name="Notes"/>
    <x:tableColumn id="17" name="Cadence"/>
    <x:tableColumn id="18" name="System Daily Rank"/>
    <x:tableColumn id="19" name="System Waiting Rank"/>
  </x:tableColumns>
  <x:tableStyleInfo name="TableStyleMedium2" showRowStripes="1"/>
</x:table>
</file>

<file path=xl/tables/table2.xml><?xml version="1.0" encoding="utf-8"?>
<x:table xmlns:x="http://schemas.openxmlformats.org/spreadsheetml/2006/main" id="2" name="ProjectsTable" displayName="ProjectsTable" ref="A5:I25" headerRowCount="1">
  <x:tableColumns count="9">
    <x:tableColumn id="1" name="Project"/>
    <x:tableColumn id="2" name="Project Owner"/>
    <x:tableColumn id="3" name="Status"/>
    <x:tableColumn id="4" name="Total Tasks"/>
    <x:tableColumn id="5" name="Open"/>
    <x:tableColumn id="6" name="Overdue"/>
    <x:tableColumn id="7" name="Blocked"/>
    <x:tableColumn id="8" name="Waiting"/>
    <x:tableColumn id="9" name="Comple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799cc5b6414e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717268281444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f9d1dbe73e54a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" hidden="0" customWidth="1"/>
    <x:col min="3" max="3" width="3.109999895095825" hidden="0" customWidth="1"/>
    <x:col min="4" max="4" width="16.670000076293945" hidden="0" customWidth="1"/>
    <x:col min="5" max="5" width="10" hidden="0" customWidth="1"/>
    <x:col min="6" max="6" width="3.109999895095825" hidden="0" customWidth="1"/>
    <x:col min="7" max="7" width="14.4399995803833" hidden="0" customWidth="1"/>
    <x:col min="8" max="8" width="10" hidden="0" customWidth="1"/>
    <x:col min="9" max="9" width="3.109999895095825" hidden="0" customWidth="1"/>
    <x:col min="10" max="10" width="10.5600004196167" hidden="0" customWidth="1"/>
    <x:col min="11" max="11" width="10.5600004196167" hidden="0" customWidth="1"/>
    <x:col min="12" max="12" width="10.5600004196167" hidden="0" customWidth="1"/>
    <x:col min="13" max="13" width="10.5600004196167" hidden="0" customWidth="1"/>
  </x:cols>
  <x:sheetData>
    <x:row r="1" ht="31.5" customHeight="1">
      <x:c r="A1" s="2" t="str">
        <x:v>Manager Task OS: Dashboard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</x:row>
    <x:row r="2">
      <x:c r="A2" s="25" t="str">
        <x:v>Start here every day: due soon, overdue, waiting, blockers, and project health.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</x:row>
    <x:row r="4">
      <x:c r="A4" s="27" t="str">
        <x:v>Metric</x:v>
      </x:c>
      <x:c r="B4" s="27" t="str">
        <x:v>Count</x:v>
      </x:c>
      <x:c r="C4" s="26"/>
      <x:c r="D4" s="27" t="str">
        <x:v>Status</x:v>
      </x:c>
      <x:c r="E4" s="27" t="str">
        <x:v>Count</x:v>
      </x:c>
      <x:c r="F4" s="26"/>
      <x:c r="G4" s="27" t="str">
        <x:v>Priority</x:v>
      </x:c>
      <x:c r="H4" s="27" t="str">
        <x:v>Open</x:v>
      </x:c>
      <x:c r="I4" s="26"/>
      <x:c r="J4" s="26"/>
      <x:c r="K4" s="26"/>
      <x:c r="L4" s="26"/>
      <x:c r="M4" s="26"/>
    </x:row>
    <x:row r="5">
      <x:c r="A5" s="28" t="str">
        <x:v>Open Tasks</x:v>
      </x:c>
      <x:c r="B5" s="28" t="n">
        <x:f>COUNTIFS('Task Inbox'!$B$6:$B$505,"&lt;&gt;",'Task Inbox'!$G$6:$G$505,"&lt;&gt;Done",'Task Inbox'!$G$6:$G$505,"&lt;&gt;Canceled")</x:f>
        <x:v>5</x:v>
      </x:c>
      <x:c r="C5" s="26"/>
      <x:c r="D5" s="28" t="str">
        <x:v>Not Started</x:v>
      </x:c>
      <x:c r="E5" s="28" t="n">
        <x:f>COUNTIFS('Task Inbox'!$G$6:$G$505,D5)</x:f>
        <x:v>1</x:v>
      </x:c>
      <x:c r="F5" s="26"/>
      <x:c r="G5" s="28" t="str">
        <x:v>P0 Critical</x:v>
      </x:c>
      <x:c r="H5" s="28" t="n">
        <x:f>COUNTIFS('Task Inbox'!$F$6:$F$505,G5,'Task Inbox'!$G$6:$G$505,"&lt;&gt;Done",'Task Inbox'!$B$6:$B$505,"&lt;&gt;")</x:f>
        <x:v>1</x:v>
      </x:c>
      <x:c r="I5" s="26"/>
      <x:c r="J5" s="26"/>
      <x:c r="K5" s="26"/>
      <x:c r="L5" s="26"/>
      <x:c r="M5" s="26"/>
    </x:row>
    <x:row r="6">
      <x:c r="A6" s="28" t="str">
        <x:v>Due Today/Tomorrow</x:v>
      </x:c>
      <x:c r="B6" s="28" t="n">
        <x:f>COUNTIFS('Task Inbox'!$B$6:$B$505,"&lt;&gt;",'Task Inbox'!$G$6:$G$505,"&lt;&gt;Done",'Task Inbox'!$H$6:$H$505,"&lt;="&amp;TODAY()+1)</x:f>
        <x:v>3</x:v>
      </x:c>
      <x:c r="C6" s="26"/>
      <x:c r="D6" s="28" t="str">
        <x:v>In Progress</x:v>
      </x:c>
      <x:c r="E6" s="28" t="n">
        <x:f>COUNTIFS('Task Inbox'!$G$6:$G$505,D6)</x:f>
        <x:v>2</x:v>
      </x:c>
      <x:c r="F6" s="26"/>
      <x:c r="G6" s="28" t="str">
        <x:v>P1 High</x:v>
      </x:c>
      <x:c r="H6" s="28" t="n">
        <x:f>COUNTIFS('Task Inbox'!$F$6:$F$505,G6,'Task Inbox'!$G$6:$G$505,"&lt;&gt;Done",'Task Inbox'!$B$6:$B$505,"&lt;&gt;")</x:f>
        <x:v>3</x:v>
      </x:c>
      <x:c r="I6" s="26"/>
      <x:c r="J6" s="26"/>
      <x:c r="K6" s="26"/>
      <x:c r="L6" s="26"/>
      <x:c r="M6" s="26"/>
    </x:row>
    <x:row r="7">
      <x:c r="A7" s="28" t="str">
        <x:v>Overdue</x:v>
      </x:c>
      <x:c r="B7" s="28" t="n">
        <x:f>COUNTIFS('Task Inbox'!$B$6:$B$505,"&lt;&gt;",'Task Inbox'!$G$6:$G$505,"&lt;&gt;Done",'Task Inbox'!$H$6:$H$505,"&lt;"&amp;TODAY())</x:f>
        <x:v>1</x:v>
      </x:c>
      <x:c r="C7" s="26"/>
      <x:c r="D7" s="28" t="str">
        <x:v>Waiting on Others</x:v>
      </x:c>
      <x:c r="E7" s="28" t="n">
        <x:f>COUNTIFS('Task Inbox'!$G$6:$G$505,D7)</x:f>
        <x:v>1</x:v>
      </x:c>
      <x:c r="F7" s="26"/>
      <x:c r="G7" s="28" t="str">
        <x:v>P2 Medium</x:v>
      </x:c>
      <x:c r="H7" s="28" t="n">
        <x:f>COUNTIFS('Task Inbox'!$F$6:$F$505,G7,'Task Inbox'!$G$6:$G$505,"&lt;&gt;Done",'Task Inbox'!$B$6:$B$505,"&lt;&gt;")</x:f>
        <x:v>1</x:v>
      </x:c>
      <x:c r="I7" s="26"/>
      <x:c r="J7" s="26"/>
      <x:c r="K7" s="26"/>
      <x:c r="L7" s="26"/>
      <x:c r="M7" s="26"/>
    </x:row>
    <x:row r="8">
      <x:c r="A8" s="28" t="str">
        <x:v>Waiting on Others</x:v>
      </x:c>
      <x:c r="B8" s="28" t="n">
        <x:f>COUNTIFS('Task Inbox'!$G$6:$G$505,"Waiting on Others")</x:f>
        <x:v>1</x:v>
      </x:c>
      <x:c r="C8" s="26"/>
      <x:c r="D8" s="28" t="str">
        <x:v>Blocked</x:v>
      </x:c>
      <x:c r="E8" s="28" t="n">
        <x:f>COUNTIFS('Task Inbox'!$G$6:$G$505,D8)</x:f>
        <x:v>1</x:v>
      </x:c>
      <x:c r="F8" s="26"/>
      <x:c r="G8" s="28" t="str">
        <x:v>P3 Low</x:v>
      </x:c>
      <x:c r="H8" s="28" t="n">
        <x:f>COUNTIFS('Task Inbox'!$F$6:$F$505,G8,'Task Inbox'!$G$6:$G$505,"&lt;&gt;Done",'Task Inbox'!$B$6:$B$505,"&lt;&gt;")</x:f>
        <x:v>0</x:v>
      </x:c>
      <x:c r="I8" s="26"/>
      <x:c r="J8" s="26"/>
      <x:c r="K8" s="26"/>
      <x:c r="L8" s="26"/>
      <x:c r="M8" s="26"/>
    </x:row>
    <x:row r="9">
      <x:c r="A9" s="28" t="str">
        <x:v>Blocked</x:v>
      </x:c>
      <x:c r="B9" s="28" t="n">
        <x:f>COUNTIFS('Task Inbox'!$G$6:$G$505,"Blocked")</x:f>
        <x:v>1</x:v>
      </x:c>
      <x:c r="C9" s="26"/>
      <x:c r="D9" s="28" t="str">
        <x:v>Scheduled</x:v>
      </x:c>
      <x:c r="E9" s="28" t="n">
        <x:f>COUNTIFS('Task Inbox'!$G$6:$G$505,D9)</x:f>
        <x:v>0</x:v>
      </x:c>
      <x:c r="F9" s="26"/>
      <x:c r="G9" s="26"/>
      <x:c r="H9" s="26"/>
      <x:c r="I9" s="26"/>
      <x:c r="J9" s="26"/>
      <x:c r="K9" s="26"/>
      <x:c r="L9" s="26"/>
      <x:c r="M9" s="26"/>
    </x:row>
    <x:row r="10">
      <x:c r="A10" s="26"/>
      <x:c r="B10" s="26"/>
      <x:c r="C10" s="26"/>
      <x:c r="D10" s="28" t="str">
        <x:v>Done</x:v>
      </x:c>
      <x:c r="E10" s="28" t="n">
        <x:f>COUNTIFS('Task Inbox'!$G$6:$G$505,D10)</x:f>
        <x:v>1</x:v>
      </x:c>
      <x:c r="F10" s="26"/>
      <x:c r="G10" s="26"/>
      <x:c r="H10" s="26"/>
      <x:c r="I10" s="26"/>
      <x:c r="J10" s="26"/>
      <x:c r="K10" s="26"/>
      <x:c r="L10" s="26"/>
      <x:c r="M10" s="26"/>
    </x:row>
    <x:row r="11">
      <x:c r="A11" s="26"/>
      <x:c r="B11" s="26"/>
      <x:c r="C11" s="26"/>
      <x:c r="D11" s="28" t="str">
        <x:v>Canceled</x:v>
      </x:c>
      <x:c r="E11" s="28" t="n">
        <x:f>COUNTIFS('Task Inbox'!$G$6:$G$505,D11)</x:f>
        <x:v>0</x:v>
      </x:c>
      <x:c r="F11" s="26"/>
      <x:c r="G11" s="26"/>
      <x:c r="H11" s="26"/>
      <x:c r="I11" s="26"/>
      <x:c r="J11" s="26"/>
      <x:c r="K11" s="26"/>
      <x:c r="L11" s="26"/>
      <x:c r="M11" s="26"/>
    </x:row>
    <x:row r="12">
      <x:c r="A12" s="23" t="str">
        <x:v>Daily Manager Rhythm</x:v>
      </x:c>
      <x:c r="B12" s="26" t="str"/>
      <x:c r="C12" s="26" t="str"/>
      <x:c r="D12" s="26" t="str"/>
      <x:c r="E12" s="26" t="str"/>
      <x:c r="F12" s="26" t="str"/>
      <x:c r="G12" s="26" t="str"/>
      <x:c r="H12" s="26" t="str"/>
      <x:c r="I12" s="26" t="str"/>
      <x:c r="J12" s="26" t="str"/>
      <x:c r="K12" s="26" t="str"/>
      <x:c r="L12" s="26" t="str"/>
      <x:c r="M12" s="26" t="str"/>
    </x:row>
    <x:row r="13">
      <x:c r="A13" s="28" t="str">
        <x:v>Morning 10 min</x:v>
      </x:c>
      <x:c r="B13" s="28" t="str">
        <x:v>Clear new tasks and mark what must move today</x:v>
      </x:c>
      <x:c r="C13" s="28" t="str"/>
      <x:c r="D13" s="28" t="str"/>
      <x:c r="E13" s="28" t="str"/>
      <x:c r="F13" s="28" t="str"/>
      <x:c r="G13" s="28" t="str"/>
      <x:c r="H13" s="28" t="str"/>
      <x:c r="I13" s="28" t="str"/>
      <x:c r="J13" s="28" t="str"/>
      <x:c r="K13" s="28" t="str"/>
      <x:c r="L13" s="28" t="str"/>
      <x:c r="M13" s="28" t="str"/>
    </x:row>
    <x:row r="14">
      <x:c r="A14" s="28" t="str">
        <x:v>Midday 10 min</x:v>
      </x:c>
      <x:c r="B14" s="28" t="str">
        <x:v>Review delegated/waiting items and remove blockers</x:v>
      </x:c>
      <x:c r="C14" s="28" t="str"/>
      <x:c r="D14" s="28" t="str"/>
      <x:c r="E14" s="28" t="str"/>
      <x:c r="F14" s="28" t="str"/>
      <x:c r="G14" s="28" t="str"/>
      <x:c r="H14" s="28" t="str"/>
      <x:c r="I14" s="28" t="str"/>
      <x:c r="J14" s="28" t="str"/>
      <x:c r="K14" s="28" t="str"/>
      <x:c r="L14" s="28" t="str"/>
      <x:c r="M14" s="28" t="str"/>
    </x:row>
    <x:row r="15">
      <x:c r="A15" s="28" t="str">
        <x:v>End of day 10 min</x:v>
      </x:c>
      <x:c r="B15" s="28" t="str">
        <x:v>Update progress and rewrite vague work into a clear next step</x:v>
      </x:c>
      <x:c r="C15" s="28" t="str"/>
      <x:c r="D15" s="28" t="str"/>
      <x:c r="E15" s="28" t="str"/>
      <x:c r="F15" s="28" t="str"/>
      <x:c r="G15" s="28" t="str"/>
      <x:c r="H15" s="28" t="str"/>
      <x:c r="I15" s="28" t="str"/>
      <x:c r="J15" s="28" t="str"/>
      <x:c r="K15" s="28" t="str"/>
      <x:c r="L15" s="28" t="str"/>
      <x:c r="M15" s="28" t="str"/>
    </x:row>
    <x:row r="16">
      <x:c r="A16" s="28" t="str">
        <x:v>Weekly review</x:v>
      </x:c>
      <x:c r="B16" s="28" t="str">
        <x:v>Delete low-value tasks and reset the team Top 3</x:v>
      </x:c>
      <x:c r="C16" s="28" t="str"/>
      <x:c r="D16" s="28" t="str"/>
      <x:c r="E16" s="28" t="str"/>
      <x:c r="F16" s="28" t="str"/>
      <x:c r="G16" s="28" t="str"/>
      <x:c r="H16" s="28" t="str"/>
      <x:c r="I16" s="28" t="str"/>
      <x:c r="J16" s="28" t="str"/>
      <x:c r="K16" s="28" t="str"/>
      <x:c r="L16" s="28" t="str"/>
      <x:c r="M16" s="28" t="str"/>
    </x:row>
    <x:row r="17">
      <x:c r="A17" s="28" t="str">
        <x:v>Rule</x:v>
      </x:c>
      <x:c r="B17" s="28" t="str">
        <x:v>Every active task needs owner, status, due date, and next step</x:v>
      </x:c>
      <x:c r="C17" s="28" t="str"/>
      <x:c r="D17" s="28" t="str"/>
      <x:c r="E17" s="28" t="str"/>
      <x:c r="F17" s="28" t="str"/>
      <x:c r="G17" s="28" t="str"/>
      <x:c r="H17" s="28" t="str"/>
      <x:c r="I17" s="28" t="str"/>
      <x:c r="J17" s="28" t="str"/>
      <x:c r="K17" s="28" t="str"/>
      <x:c r="L17" s="28" t="str"/>
      <x:c r="M17" s="28" t="str"/>
    </x:row>
  </x:sheetData>
  <x:pageMargins left="0.7" right="0.7" top="0.75" bottom="0.75" header="0.3" footer="0.3"/>
  <x:drawing xmlns:r="http://schemas.openxmlformats.org/officeDocument/2006/relationships" r:id="R7c799cc5b6414ec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31.110000610351562" hidden="0" customWidth="1"/>
    <x:col min="3" max="3" width="13.329999923706055" hidden="0" customWidth="1"/>
    <x:col min="4" max="4" width="18.889999389648438" hidden="0" customWidth="1"/>
    <x:col min="5" max="5" width="13.329999923706055" hidden="0" customWidth="1"/>
    <x:col min="6" max="6" width="13.329999923706055" hidden="0" customWidth="1"/>
    <x:col min="7" max="7" width="15.5600004196167" hidden="0" customWidth="1"/>
    <x:col min="8" max="8" width="12.779999732971191" hidden="0" customWidth="1"/>
    <x:col min="9" max="9" width="10.5600004196167" hidden="0" customWidth="1"/>
    <x:col min="10" max="10" width="10" hidden="0" customWidth="1"/>
    <x:col min="11" max="11" width="27.780000686645508" hidden="0" customWidth="1"/>
    <x:col min="12" max="12" width="8.890000343322754" hidden="0" customWidth="1"/>
    <x:col min="13" max="13" width="10.5600004196167" hidden="0" customWidth="1"/>
    <x:col min="14" max="14" width="24.440000534057617" hidden="0" customWidth="1"/>
    <x:col min="15" max="15" width="12.779999732971191" hidden="0" customWidth="1"/>
    <x:col min="16" max="16" width="27.780000686645508" hidden="0" customWidth="1"/>
    <x:col min="17" max="17" width="13.329999923706055" hidden="0" customWidth="1"/>
    <x:col min="18" max="18" width="0.4399999976158142" hidden="0" customWidth="1"/>
    <x:col min="19" max="19" width="0.4399999976158142" hidden="0" customWidth="1"/>
  </x:cols>
  <x:sheetData>
    <x:row r="1" ht="31.5" customHeight="1">
      <x:c r="A1" s="2" t="str">
        <x:v>Manager Task OS: Task Inbox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6"/>
      <x:c r="S1" s="26"/>
    </x:row>
    <x:row r="2">
      <x:c r="A2" s="25" t="str">
        <x:v>Capture tasks quickly and manage owner, project, status, due date, blockers, and cadence with dropdowns.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</x:row>
    <x:row r="5">
      <x:c r="A5" s="29" t="str">
        <x:v>ID</x:v>
      </x:c>
      <x:c r="B5" s="29" t="str">
        <x:v>Task</x:v>
      </x:c>
      <x:c r="C5" s="29" t="str">
        <x:v>Type</x:v>
      </x:c>
      <x:c r="D5" s="29" t="str">
        <x:v>Project</x:v>
      </x:c>
      <x:c r="E5" s="29" t="str">
        <x:v>Owner</x:v>
      </x:c>
      <x:c r="F5" s="29" t="str">
        <x:v>Priority</x:v>
      </x:c>
      <x:c r="G5" s="29" t="str">
        <x:v>Status</x:v>
      </x:c>
      <x:c r="H5" s="29" t="str">
        <x:v>Due Date</x:v>
      </x:c>
      <x:c r="I5" s="29" t="str">
        <x:v>Effort (h)</x:v>
      </x:c>
      <x:c r="J5" s="29" t="str">
        <x:v>Progress</x:v>
      </x:c>
      <x:c r="K5" s="29" t="str">
        <x:v>Next Step</x:v>
      </x:c>
      <x:c r="L5" s="29" t="str">
        <x:v>Today?</x:v>
      </x:c>
      <x:c r="M5" s="29" t="str">
        <x:v>Delegated?</x:v>
      </x:c>
      <x:c r="N5" s="29" t="str">
        <x:v>Blocker</x:v>
      </x:c>
      <x:c r="O5" s="29" t="str">
        <x:v>Last Updated</x:v>
      </x:c>
      <x:c r="P5" s="29" t="str">
        <x:v>Notes</x:v>
      </x:c>
      <x:c r="Q5" s="29" t="str">
        <x:v>Cadence</x:v>
      </x:c>
      <x:c r="R5" s="29" t="str">
        <x:v>System Daily Rank</x:v>
      </x:c>
      <x:c r="S5" s="29" t="str">
        <x:v>System Waiting Rank</x:v>
      </x:c>
    </x:row>
    <x:row r="6">
      <x:c r="A6" s="30" t="str">
        <x:v>T-001</x:v>
      </x:c>
      <x:c r="B6" s="30" t="str">
        <x:v>Confirm this week's team Top 3 priorities</x:v>
      </x:c>
      <x:c r="C6" s="30" t="str">
        <x:v>Team</x:v>
      </x:c>
      <x:c r="D6" s="30" t="str">
        <x:v>Team Management</x:v>
      </x:c>
      <x:c r="E6" s="30" t="str">
        <x:v>Me</x:v>
      </x:c>
      <x:c r="F6" s="30" t="str">
        <x:v>P0 Critical</x:v>
      </x:c>
      <x:c r="G6" s="30" t="str">
        <x:v>In Progress</x:v>
      </x:c>
      <x:c r="H6" s="31" t="n">
        <x:v>46174</x:v>
      </x:c>
      <x:c r="I6" s="32" t="n">
        <x:v>1</x:v>
      </x:c>
      <x:c r="J6" s="33" t="n">
        <x:v>0.5</x:v>
      </x:c>
      <x:c r="K6" s="30" t="str">
        <x:v>Confirm owner in 15-min standup</x:v>
      </x:c>
      <x:c r="L6" s="30" t="str">
        <x:v>Yes</x:v>
      </x:c>
      <x:c r="M6" s="30" t="str">
        <x:v>No</x:v>
      </x:c>
      <x:c r="N6" s="30" t="str"/>
      <x:c r="O6" s="31" t="n">
        <x:v>46174</x:v>
      </x:c>
      <x:c r="P6" s="30" t="str">
        <x:v>Update every morning</x:v>
      </x:c>
      <x:c r="Q6" s="30" t="str">
        <x:v>Weekly</x:v>
      </x:c>
      <x:c r="R6" s="34" t="n">
        <x:f>IF(AND($B6&lt;&gt;"",$G6&lt;&gt;"Done",$G6&lt;&gt;"Canceled",OR($L6="Yes",$H6&lt;=TODAY()+1,$F6="P0 Critical",$F6="P1 High",$G6="Blocked",$G6="Waiting on Others")),COUNT($R$5:R5)+1,"")</x:f>
        <x:v>1</x:v>
      </x:c>
      <x:c r="S6" s="34" t="str">
        <x:f>IF(AND($B6&lt;&gt;"",$G6&lt;&gt;"Done",$G6&lt;&gt;"Canceled",OR($M6="Yes",$G6="Blocked",$G6="Waiting on Others")),COUNT($S$5:S5)+1,"")</x:f>
      </x:c>
    </x:row>
    <x:row r="7">
      <x:c r="A7" s="30" t="str">
        <x:v>T-002</x:v>
      </x:c>
      <x:c r="B7" s="30" t="str">
        <x:v>Follow up on customer delivery risk list</x:v>
      </x:c>
      <x:c r="C7" s="30" t="str">
        <x:v>Project</x:v>
      </x:c>
      <x:c r="D7" s="30" t="str">
        <x:v>Customer Delivery</x:v>
      </x:c>
      <x:c r="E7" s="30" t="str">
        <x:v>Alice</x:v>
      </x:c>
      <x:c r="F7" s="30" t="str">
        <x:v>P1 High</x:v>
      </x:c>
      <x:c r="G7" s="30" t="str">
        <x:v>Waiting on Others</x:v>
      </x:c>
      <x:c r="H7" s="31" t="n">
        <x:v>46175</x:v>
      </x:c>
      <x:c r="I7" s="32" t="n">
        <x:v>2</x:v>
      </x:c>
      <x:c r="J7" s="33" t="n">
        <x:v>0.35</x:v>
      </x:c>
      <x:c r="K7" s="30" t="str">
        <x:v>Waiting for risk rating from Alice</x:v>
      </x:c>
      <x:c r="L7" s="30" t="str">
        <x:v>Yes</x:v>
      </x:c>
      <x:c r="M7" s="30" t="str">
        <x:v>Yes</x:v>
      </x:c>
      <x:c r="N7" s="30" t="str"/>
      <x:c r="O7" s="31" t="n">
        <x:v>46174</x:v>
      </x:c>
      <x:c r="P7" s="30" t="str">
        <x:v>Need feedback by 3 PM</x:v>
      </x:c>
      <x:c r="Q7" s="30" t="str">
        <x:v>One-time</x:v>
      </x:c>
      <x:c r="R7" s="34" t="n">
        <x:f>IF(AND($B7&lt;&gt;"",$G7&lt;&gt;"Done",$G7&lt;&gt;"Canceled",OR($L7="Yes",$H7&lt;=TODAY()+1,$F7="P0 Critical",$F7="P1 High",$G7="Blocked",$G7="Waiting on Others")),COUNT($R$5:R6)+1,"")</x:f>
        <x:v>2</x:v>
      </x:c>
      <x:c r="S7" s="34" t="n">
        <x:f>IF(AND($B7&lt;&gt;"",$G7&lt;&gt;"Done",$G7&lt;&gt;"Canceled",OR($M7="Yes",$G7="Blocked",$G7="Waiting on Others")),COUNT($S$5:S6)+1,"")</x:f>
        <x:v>1</x:v>
      </x:c>
    </x:row>
    <x:row r="8">
      <x:c r="A8" s="30" t="str">
        <x:v>T-003</x:v>
      </x:c>
      <x:c r="B8" s="30" t="str">
        <x:v>Approve Q3 budget draft</x:v>
      </x:c>
      <x:c r="C8" s="30" t="str">
        <x:v>Decision</x:v>
      </x:c>
      <x:c r="D8" s="30" t="str">
        <x:v>Budget Planning</x:v>
      </x:c>
      <x:c r="E8" s="30" t="str">
        <x:v>Me</x:v>
      </x:c>
      <x:c r="F8" s="30" t="str">
        <x:v>P1 High</x:v>
      </x:c>
      <x:c r="G8" s="30" t="str">
        <x:v>Not Started</x:v>
      </x:c>
      <x:c r="H8" s="31" t="n">
        <x:v>46178</x:v>
      </x:c>
      <x:c r="I8" s="32" t="n">
        <x:v>1.5</x:v>
      </x:c>
      <x:c r="J8" s="33" t="n">
        <x:v>0</x:v>
      </x:c>
      <x:c r="K8" s="30" t="str">
        <x:v>Review Finance version</x:v>
      </x:c>
      <x:c r="L8" s="30" t="str">
        <x:v>No</x:v>
      </x:c>
      <x:c r="M8" s="30" t="str">
        <x:v>No</x:v>
      </x:c>
      <x:c r="N8" s="30" t="str"/>
      <x:c r="O8" s="31" t="n">
        <x:v>46174</x:v>
      </x:c>
      <x:c r="P8" s="30" t="str"/>
      <x:c r="Q8" s="30" t="str">
        <x:v>Quarterly</x:v>
      </x:c>
      <x:c r="R8" s="34" t="n">
        <x:f>IF(AND($B8&lt;&gt;"",$G8&lt;&gt;"Done",$G8&lt;&gt;"Canceled",OR($L8="Yes",$H8&lt;=TODAY()+1,$F8="P0 Critical",$F8="P1 High",$G8="Blocked",$G8="Waiting on Others")),COUNT($R$5:R7)+1,"")</x:f>
        <x:v>3</x:v>
      </x:c>
      <x:c r="S8" s="34" t="str">
        <x:f>IF(AND($B8&lt;&gt;"",$G8&lt;&gt;"Done",$G8&lt;&gt;"Canceled",OR($M8="Yes",$G8="Blocked",$G8="Waiting on Others")),COUNT($S$5:S7)+1,"")</x:f>
      </x:c>
    </x:row>
    <x:row r="9">
      <x:c r="A9" s="30" t="str">
        <x:v>T-004</x:v>
      </x:c>
      <x:c r="B9" s="30" t="str">
        <x:v>Compile hiring interview feedback</x:v>
      </x:c>
      <x:c r="C9" s="30" t="str">
        <x:v>Meeting</x:v>
      </x:c>
      <x:c r="D9" s="30" t="str">
        <x:v>Hiring</x:v>
      </x:c>
      <x:c r="E9" s="30" t="str">
        <x:v>HR</x:v>
      </x:c>
      <x:c r="F9" s="30" t="str">
        <x:v>P2 Medium</x:v>
      </x:c>
      <x:c r="G9" s="30" t="str">
        <x:v>Blocked</x:v>
      </x:c>
      <x:c r="H9" s="31" t="n">
        <x:v>46172</x:v>
      </x:c>
      <x:c r="I9" s="32" t="n">
        <x:v>1</x:v>
      </x:c>
      <x:c r="J9" s="33" t="n">
        <x:v>0.2</x:v>
      </x:c>
      <x:c r="K9" s="30" t="str">
        <x:v>Ask HR for missing scorecard</x:v>
      </x:c>
      <x:c r="L9" s="30" t="str">
        <x:v>Yes</x:v>
      </x:c>
      <x:c r="M9" s="30" t="str">
        <x:v>Yes</x:v>
      </x:c>
      <x:c r="N9" s="30" t="str">
        <x:v>Missing interviewer scorecard</x:v>
      </x:c>
      <x:c r="O9" s="31" t="n">
        <x:v>46174</x:v>
      </x:c>
      <x:c r="P9" s="30" t="str">
        <x:v>Overdue example</x:v>
      </x:c>
      <x:c r="Q9" s="30" t="str">
        <x:v>One-time</x:v>
      </x:c>
      <x:c r="R9" s="34" t="n">
        <x:f>IF(AND($B9&lt;&gt;"",$G9&lt;&gt;"Done",$G9&lt;&gt;"Canceled",OR($L9="Yes",$H9&lt;=TODAY()+1,$F9="P0 Critical",$F9="P1 High",$G9="Blocked",$G9="Waiting on Others")),COUNT($R$5:R8)+1,"")</x:f>
        <x:v>4</x:v>
      </x:c>
      <x:c r="S9" s="34" t="n">
        <x:f>IF(AND($B9&lt;&gt;"",$G9&lt;&gt;"Done",$G9&lt;&gt;"Canceled",OR($M9="Yes",$G9="Blocked",$G9="Waiting on Others")),COUNT($S$5:S8)+1,"")</x:f>
        <x:v>2</x:v>
      </x:c>
    </x:row>
    <x:row r="10">
      <x:c r="A10" s="30" t="str">
        <x:v>T-005</x:v>
      </x:c>
      <x:c r="B10" s="30" t="str">
        <x:v>Archive product improvement meeting notes</x:v>
      </x:c>
      <x:c r="C10" s="30" t="str">
        <x:v>Follow-up</x:v>
      </x:c>
      <x:c r="D10" s="30" t="str">
        <x:v>Product Improvements</x:v>
      </x:c>
      <x:c r="E10" s="30" t="str">
        <x:v>Ben</x:v>
      </x:c>
      <x:c r="F10" s="30" t="str">
        <x:v>P2 Medium</x:v>
      </x:c>
      <x:c r="G10" s="30" t="str">
        <x:v>Done</x:v>
      </x:c>
      <x:c r="H10" s="31" t="n">
        <x:v>46173</x:v>
      </x:c>
      <x:c r="I10" s="32" t="n">
        <x:v>0.5</x:v>
      </x:c>
      <x:c r="J10" s="33" t="n">
        <x:v>1</x:v>
      </x:c>
      <x:c r="K10" s="30" t="str">
        <x:v>Archive notes</x:v>
      </x:c>
      <x:c r="L10" s="30" t="str">
        <x:v>No</x:v>
      </x:c>
      <x:c r="M10" s="30" t="str">
        <x:v>Yes</x:v>
      </x:c>
      <x:c r="N10" s="30" t="str"/>
      <x:c r="O10" s="31" t="n">
        <x:v>46174</x:v>
      </x:c>
      <x:c r="P10" s="30" t="str"/>
      <x:c r="Q10" s="30" t="str">
        <x:v>Weekly</x:v>
      </x:c>
      <x:c r="R10" s="34" t="str">
        <x:f>IF(AND($B10&lt;&gt;"",$G10&lt;&gt;"Done",$G10&lt;&gt;"Canceled",OR($L10="Yes",$H10&lt;=TODAY()+1,$F10="P0 Critical",$F10="P1 High",$G10="Blocked",$G10="Waiting on Others")),COUNT($R$5:R9)+1,"")</x:f>
      </x:c>
      <x:c r="S10" s="34" t="str">
        <x:f>IF(AND($B10&lt;&gt;"",$G10&lt;&gt;"Done",$G10&lt;&gt;"Canceled",OR($M10="Yes",$G10="Blocked",$G10="Waiting on Others")),COUNT($S$5:S9)+1,"")</x:f>
      </x:c>
    </x:row>
    <x:row r="11">
      <x:c r="A11" s="30" t="str">
        <x:v>T-006</x:v>
      </x:c>
      <x:c r="B11" s="30" t="str">
        <x:v>Map cross-functional SLA workflow</x:v>
      </x:c>
      <x:c r="C11" s="30" t="str">
        <x:v>Project</x:v>
      </x:c>
      <x:c r="D11" s="30" t="str">
        <x:v>Process Optimization</x:v>
      </x:c>
      <x:c r="E11" s="30" t="str">
        <x:v>Product</x:v>
      </x:c>
      <x:c r="F11" s="30" t="str">
        <x:v>P1 High</x:v>
      </x:c>
      <x:c r="G11" s="30" t="str">
        <x:v>In Progress</x:v>
      </x:c>
      <x:c r="H11" s="31" t="n">
        <x:v>46180</x:v>
      </x:c>
      <x:c r="I11" s="32" t="n">
        <x:v>3</x:v>
      </x:c>
      <x:c r="J11" s="33" t="n">
        <x:v>0.65</x:v>
      </x:c>
      <x:c r="K11" s="30" t="str">
        <x:v>Add Legal review node</x:v>
      </x:c>
      <x:c r="L11" s="30" t="str">
        <x:v>No</x:v>
      </x:c>
      <x:c r="M11" s="30" t="str">
        <x:v>Yes</x:v>
      </x:c>
      <x:c r="N11" s="30" t="str"/>
      <x:c r="O11" s="31" t="n">
        <x:v>46174</x:v>
      </x:c>
      <x:c r="P11" s="30" t="str"/>
      <x:c r="Q11" s="30" t="str">
        <x:v>Monthly</x:v>
      </x:c>
      <x:c r="R11" s="34" t="n">
        <x:f>IF(AND($B11&lt;&gt;"",$G11&lt;&gt;"Done",$G11&lt;&gt;"Canceled",OR($L11="Yes",$H11&lt;=TODAY()+1,$F11="P0 Critical",$F11="P1 High",$G11="Blocked",$G11="Waiting on Others")),COUNT($R$5:R10)+1,"")</x:f>
        <x:v>5</x:v>
      </x:c>
      <x:c r="S11" s="34" t="n">
        <x:f>IF(AND($B11&lt;&gt;"",$G11&lt;&gt;"Done",$G11&lt;&gt;"Canceled",OR($M11="Yes",$G11="Blocked",$G11="Waiting on Others")),COUNT($S$5:S10)+1,"")</x:f>
        <x:v>3</x:v>
      </x:c>
    </x:row>
    <x:row r="12">
      <x:c r="A12" s="30"/>
      <x:c r="B12" s="30"/>
      <x:c r="C12" s="30"/>
      <x:c r="D12" s="30"/>
      <x:c r="E12" s="30"/>
      <x:c r="F12" s="30"/>
      <x:c r="G12" s="30"/>
      <x:c r="H12" s="31"/>
      <x:c r="I12" s="32"/>
      <x:c r="J12" s="33"/>
      <x:c r="K12" s="30"/>
      <x:c r="L12" s="30"/>
      <x:c r="M12" s="30"/>
      <x:c r="N12" s="30"/>
      <x:c r="O12" s="31"/>
      <x:c r="P12" s="30"/>
      <x:c r="Q12" s="30"/>
      <x:c r="R12" s="34" t="str">
        <x:f>IF(AND($B12&lt;&gt;"",$G12&lt;&gt;"Done",$G12&lt;&gt;"Canceled",OR($L12="Yes",$H12&lt;=TODAY()+1,$F12="P0 Critical",$F12="P1 High",$G12="Blocked",$G12="Waiting on Others")),COUNT($R$5:R11)+1,"")</x:f>
      </x:c>
      <x:c r="S12" s="34" t="str">
        <x:f>IF(AND($B12&lt;&gt;"",$G12&lt;&gt;"Done",$G12&lt;&gt;"Canceled",OR($M12="Yes",$G12="Blocked",$G12="Waiting on Others")),COUNT($S$5:S11)+1,"")</x:f>
      </x:c>
    </x:row>
    <x:row r="13">
      <x:c r="A13" s="30"/>
      <x:c r="B13" s="30"/>
      <x:c r="C13" s="30"/>
      <x:c r="D13" s="30"/>
      <x:c r="E13" s="30"/>
      <x:c r="F13" s="30"/>
      <x:c r="G13" s="30"/>
      <x:c r="H13" s="31"/>
      <x:c r="I13" s="32"/>
      <x:c r="J13" s="33"/>
      <x:c r="K13" s="30"/>
      <x:c r="L13" s="30"/>
      <x:c r="M13" s="30"/>
      <x:c r="N13" s="30"/>
      <x:c r="O13" s="31"/>
      <x:c r="P13" s="30"/>
      <x:c r="Q13" s="30"/>
      <x:c r="R13" s="34" t="str">
        <x:f>IF(AND($B13&lt;&gt;"",$G13&lt;&gt;"Done",$G13&lt;&gt;"Canceled",OR($L13="Yes",$H13&lt;=TODAY()+1,$F13="P0 Critical",$F13="P1 High",$G13="Blocked",$G13="Waiting on Others")),COUNT($R$5:R12)+1,"")</x:f>
      </x:c>
      <x:c r="S13" s="34" t="str">
        <x:f>IF(AND($B13&lt;&gt;"",$G13&lt;&gt;"Done",$G13&lt;&gt;"Canceled",OR($M13="Yes",$G13="Blocked",$G13="Waiting on Others")),COUNT($S$5:S12)+1,"")</x:f>
      </x:c>
    </x:row>
    <x:row r="14">
      <x:c r="A14" s="30"/>
      <x:c r="B14" s="30"/>
      <x:c r="C14" s="30"/>
      <x:c r="D14" s="30"/>
      <x:c r="E14" s="30"/>
      <x:c r="F14" s="30"/>
      <x:c r="G14" s="30"/>
      <x:c r="H14" s="31"/>
      <x:c r="I14" s="32"/>
      <x:c r="J14" s="33"/>
      <x:c r="K14" s="30"/>
      <x:c r="L14" s="30"/>
      <x:c r="M14" s="30"/>
      <x:c r="N14" s="30"/>
      <x:c r="O14" s="31"/>
      <x:c r="P14" s="30"/>
      <x:c r="Q14" s="30"/>
      <x:c r="R14" s="34" t="str">
        <x:f>IF(AND($B14&lt;&gt;"",$G14&lt;&gt;"Done",$G14&lt;&gt;"Canceled",OR($L14="Yes",$H14&lt;=TODAY()+1,$F14="P0 Critical",$F14="P1 High",$G14="Blocked",$G14="Waiting on Others")),COUNT($R$5:R13)+1,"")</x:f>
      </x:c>
      <x:c r="S14" s="34" t="str">
        <x:f>IF(AND($B14&lt;&gt;"",$G14&lt;&gt;"Done",$G14&lt;&gt;"Canceled",OR($M14="Yes",$G14="Blocked",$G14="Waiting on Others")),COUNT($S$5:S13)+1,"")</x:f>
      </x:c>
    </x:row>
    <x:row r="15">
      <x:c r="A15" s="30"/>
      <x:c r="B15" s="30"/>
      <x:c r="C15" s="30"/>
      <x:c r="D15" s="30"/>
      <x:c r="E15" s="30"/>
      <x:c r="F15" s="30"/>
      <x:c r="G15" s="30"/>
      <x:c r="H15" s="31"/>
      <x:c r="I15" s="32"/>
      <x:c r="J15" s="33"/>
      <x:c r="K15" s="30"/>
      <x:c r="L15" s="30"/>
      <x:c r="M15" s="30"/>
      <x:c r="N15" s="30"/>
      <x:c r="O15" s="31"/>
      <x:c r="P15" s="30"/>
      <x:c r="Q15" s="30"/>
      <x:c r="R15" s="34" t="str">
        <x:f>IF(AND($B15&lt;&gt;"",$G15&lt;&gt;"Done",$G15&lt;&gt;"Canceled",OR($L15="Yes",$H15&lt;=TODAY()+1,$F15="P0 Critical",$F15="P1 High",$G15="Blocked",$G15="Waiting on Others")),COUNT($R$5:R14)+1,"")</x:f>
      </x:c>
      <x:c r="S15" s="34" t="str">
        <x:f>IF(AND($B15&lt;&gt;"",$G15&lt;&gt;"Done",$G15&lt;&gt;"Canceled",OR($M15="Yes",$G15="Blocked",$G15="Waiting on Others")),COUNT($S$5:S14)+1,"")</x:f>
      </x:c>
    </x:row>
    <x:row r="16">
      <x:c r="A16" s="30"/>
      <x:c r="B16" s="30"/>
      <x:c r="C16" s="30"/>
      <x:c r="D16" s="30"/>
      <x:c r="E16" s="30"/>
      <x:c r="F16" s="30"/>
      <x:c r="G16" s="30"/>
      <x:c r="H16" s="31"/>
      <x:c r="I16" s="32"/>
      <x:c r="J16" s="33"/>
      <x:c r="K16" s="30"/>
      <x:c r="L16" s="30"/>
      <x:c r="M16" s="30"/>
      <x:c r="N16" s="30"/>
      <x:c r="O16" s="31"/>
      <x:c r="P16" s="30"/>
      <x:c r="Q16" s="30"/>
      <x:c r="R16" s="34" t="str">
        <x:f>IF(AND($B16&lt;&gt;"",$G16&lt;&gt;"Done",$G16&lt;&gt;"Canceled",OR($L16="Yes",$H16&lt;=TODAY()+1,$F16="P0 Critical",$F16="P1 High",$G16="Blocked",$G16="Waiting on Others")),COUNT($R$5:R15)+1,"")</x:f>
      </x:c>
      <x:c r="S16" s="34" t="str">
        <x:f>IF(AND($B16&lt;&gt;"",$G16&lt;&gt;"Done",$G16&lt;&gt;"Canceled",OR($M16="Yes",$G16="Blocked",$G16="Waiting on Others")),COUNT($S$5:S15)+1,"")</x:f>
      </x:c>
    </x:row>
    <x:row r="17">
      <x:c r="A17" s="30"/>
      <x:c r="B17" s="30"/>
      <x:c r="C17" s="30"/>
      <x:c r="D17" s="30"/>
      <x:c r="E17" s="30"/>
      <x:c r="F17" s="30"/>
      <x:c r="G17" s="30"/>
      <x:c r="H17" s="31"/>
      <x:c r="I17" s="32"/>
      <x:c r="J17" s="33"/>
      <x:c r="K17" s="30"/>
      <x:c r="L17" s="30"/>
      <x:c r="M17" s="30"/>
      <x:c r="N17" s="30"/>
      <x:c r="O17" s="31"/>
      <x:c r="P17" s="30"/>
      <x:c r="Q17" s="30"/>
      <x:c r="R17" s="34" t="str">
        <x:f>IF(AND($B17&lt;&gt;"",$G17&lt;&gt;"Done",$G17&lt;&gt;"Canceled",OR($L17="Yes",$H17&lt;=TODAY()+1,$F17="P0 Critical",$F17="P1 High",$G17="Blocked",$G17="Waiting on Others")),COUNT($R$5:R16)+1,"")</x:f>
      </x:c>
      <x:c r="S17" s="34" t="str">
        <x:f>IF(AND($B17&lt;&gt;"",$G17&lt;&gt;"Done",$G17&lt;&gt;"Canceled",OR($M17="Yes",$G17="Blocked",$G17="Waiting on Others")),COUNT($S$5:S16)+1,"")</x:f>
      </x:c>
    </x:row>
    <x:row r="18">
      <x:c r="A18" s="30"/>
      <x:c r="B18" s="30"/>
      <x:c r="C18" s="30"/>
      <x:c r="D18" s="30"/>
      <x:c r="E18" s="30"/>
      <x:c r="F18" s="30"/>
      <x:c r="G18" s="30"/>
      <x:c r="H18" s="31"/>
      <x:c r="I18" s="32"/>
      <x:c r="J18" s="33"/>
      <x:c r="K18" s="30"/>
      <x:c r="L18" s="30"/>
      <x:c r="M18" s="30"/>
      <x:c r="N18" s="30"/>
      <x:c r="O18" s="31"/>
      <x:c r="P18" s="30"/>
      <x:c r="Q18" s="30"/>
      <x:c r="R18" s="34" t="str">
        <x:f>IF(AND($B18&lt;&gt;"",$G18&lt;&gt;"Done",$G18&lt;&gt;"Canceled",OR($L18="Yes",$H18&lt;=TODAY()+1,$F18="P0 Critical",$F18="P1 High",$G18="Blocked",$G18="Waiting on Others")),COUNT($R$5:R17)+1,"")</x:f>
      </x:c>
      <x:c r="S18" s="34" t="str">
        <x:f>IF(AND($B18&lt;&gt;"",$G18&lt;&gt;"Done",$G18&lt;&gt;"Canceled",OR($M18="Yes",$G18="Blocked",$G18="Waiting on Others")),COUNT($S$5:S17)+1,"")</x:f>
      </x:c>
    </x:row>
    <x:row r="19">
      <x:c r="A19" s="30"/>
      <x:c r="B19" s="30"/>
      <x:c r="C19" s="30"/>
      <x:c r="D19" s="30"/>
      <x:c r="E19" s="30"/>
      <x:c r="F19" s="30"/>
      <x:c r="G19" s="30"/>
      <x:c r="H19" s="31"/>
      <x:c r="I19" s="32"/>
      <x:c r="J19" s="33"/>
      <x:c r="K19" s="30"/>
      <x:c r="L19" s="30"/>
      <x:c r="M19" s="30"/>
      <x:c r="N19" s="30"/>
      <x:c r="O19" s="31"/>
      <x:c r="P19" s="30"/>
      <x:c r="Q19" s="30"/>
      <x:c r="R19" s="34" t="str">
        <x:f>IF(AND($B19&lt;&gt;"",$G19&lt;&gt;"Done",$G19&lt;&gt;"Canceled",OR($L19="Yes",$H19&lt;=TODAY()+1,$F19="P0 Critical",$F19="P1 High",$G19="Blocked",$G19="Waiting on Others")),COUNT($R$5:R18)+1,"")</x:f>
      </x:c>
      <x:c r="S19" s="34" t="str">
        <x:f>IF(AND($B19&lt;&gt;"",$G19&lt;&gt;"Done",$G19&lt;&gt;"Canceled",OR($M19="Yes",$G19="Blocked",$G19="Waiting on Others")),COUNT($S$5:S18)+1,"")</x:f>
      </x:c>
    </x:row>
    <x:row r="20">
      <x:c r="A20" s="30"/>
      <x:c r="B20" s="30"/>
      <x:c r="C20" s="30"/>
      <x:c r="D20" s="30"/>
      <x:c r="E20" s="30"/>
      <x:c r="F20" s="30"/>
      <x:c r="G20" s="30"/>
      <x:c r="H20" s="31"/>
      <x:c r="I20" s="32"/>
      <x:c r="J20" s="33"/>
      <x:c r="K20" s="30"/>
      <x:c r="L20" s="30"/>
      <x:c r="M20" s="30"/>
      <x:c r="N20" s="30"/>
      <x:c r="O20" s="31"/>
      <x:c r="P20" s="30"/>
      <x:c r="Q20" s="30"/>
      <x:c r="R20" s="34" t="str">
        <x:f>IF(AND($B20&lt;&gt;"",$G20&lt;&gt;"Done",$G20&lt;&gt;"Canceled",OR($L20="Yes",$H20&lt;=TODAY()+1,$F20="P0 Critical",$F20="P1 High",$G20="Blocked",$G20="Waiting on Others")),COUNT($R$5:R19)+1,"")</x:f>
      </x:c>
      <x:c r="S20" s="34" t="str">
        <x:f>IF(AND($B20&lt;&gt;"",$G20&lt;&gt;"Done",$G20&lt;&gt;"Canceled",OR($M20="Yes",$G20="Blocked",$G20="Waiting on Others")),COUNT($S$5:S19)+1,"")</x:f>
      </x:c>
    </x:row>
    <x:row r="21">
      <x:c r="A21" s="30"/>
      <x:c r="B21" s="30"/>
      <x:c r="C21" s="30"/>
      <x:c r="D21" s="30"/>
      <x:c r="E21" s="30"/>
      <x:c r="F21" s="30"/>
      <x:c r="G21" s="30"/>
      <x:c r="H21" s="31"/>
      <x:c r="I21" s="32"/>
      <x:c r="J21" s="33"/>
      <x:c r="K21" s="30"/>
      <x:c r="L21" s="30"/>
      <x:c r="M21" s="30"/>
      <x:c r="N21" s="30"/>
      <x:c r="O21" s="31"/>
      <x:c r="P21" s="30"/>
      <x:c r="Q21" s="30"/>
      <x:c r="R21" s="34" t="str">
        <x:f>IF(AND($B21&lt;&gt;"",$G21&lt;&gt;"Done",$G21&lt;&gt;"Canceled",OR($L21="Yes",$H21&lt;=TODAY()+1,$F21="P0 Critical",$F21="P1 High",$G21="Blocked",$G21="Waiting on Others")),COUNT($R$5:R20)+1,"")</x:f>
      </x:c>
      <x:c r="S21" s="34" t="str">
        <x:f>IF(AND($B21&lt;&gt;"",$G21&lt;&gt;"Done",$G21&lt;&gt;"Canceled",OR($M21="Yes",$G21="Blocked",$G21="Waiting on Others")),COUNT($S$5:S20)+1,"")</x:f>
      </x:c>
    </x:row>
    <x:row r="22">
      <x:c r="A22" s="30"/>
      <x:c r="B22" s="30"/>
      <x:c r="C22" s="30"/>
      <x:c r="D22" s="30"/>
      <x:c r="E22" s="30"/>
      <x:c r="F22" s="30"/>
      <x:c r="G22" s="30"/>
      <x:c r="H22" s="31"/>
      <x:c r="I22" s="32"/>
      <x:c r="J22" s="33"/>
      <x:c r="K22" s="30"/>
      <x:c r="L22" s="30"/>
      <x:c r="M22" s="30"/>
      <x:c r="N22" s="30"/>
      <x:c r="O22" s="31"/>
      <x:c r="P22" s="30"/>
      <x:c r="Q22" s="30"/>
      <x:c r="R22" s="34" t="str">
        <x:f>IF(AND($B22&lt;&gt;"",$G22&lt;&gt;"Done",$G22&lt;&gt;"Canceled",OR($L22="Yes",$H22&lt;=TODAY()+1,$F22="P0 Critical",$F22="P1 High",$G22="Blocked",$G22="Waiting on Others")),COUNT($R$5:R21)+1,"")</x:f>
      </x:c>
      <x:c r="S22" s="34" t="str">
        <x:f>IF(AND($B22&lt;&gt;"",$G22&lt;&gt;"Done",$G22&lt;&gt;"Canceled",OR($M22="Yes",$G22="Blocked",$G22="Waiting on Others")),COUNT($S$5:S21)+1,"")</x:f>
      </x:c>
    </x:row>
    <x:row r="23">
      <x:c r="A23" s="30"/>
      <x:c r="B23" s="30"/>
      <x:c r="C23" s="30"/>
      <x:c r="D23" s="30"/>
      <x:c r="E23" s="30"/>
      <x:c r="F23" s="30"/>
      <x:c r="G23" s="30"/>
      <x:c r="H23" s="31"/>
      <x:c r="I23" s="32"/>
      <x:c r="J23" s="33"/>
      <x:c r="K23" s="30"/>
      <x:c r="L23" s="30"/>
      <x:c r="M23" s="30"/>
      <x:c r="N23" s="30"/>
      <x:c r="O23" s="31"/>
      <x:c r="P23" s="30"/>
      <x:c r="Q23" s="30"/>
      <x:c r="R23" s="34" t="str">
        <x:f>IF(AND($B23&lt;&gt;"",$G23&lt;&gt;"Done",$G23&lt;&gt;"Canceled",OR($L23="Yes",$H23&lt;=TODAY()+1,$F23="P0 Critical",$F23="P1 High",$G23="Blocked",$G23="Waiting on Others")),COUNT($R$5:R22)+1,"")</x:f>
      </x:c>
      <x:c r="S23" s="34" t="str">
        <x:f>IF(AND($B23&lt;&gt;"",$G23&lt;&gt;"Done",$G23&lt;&gt;"Canceled",OR($M23="Yes",$G23="Blocked",$G23="Waiting on Others")),COUNT($S$5:S22)+1,"")</x:f>
      </x:c>
    </x:row>
    <x:row r="24">
      <x:c r="A24" s="30"/>
      <x:c r="B24" s="30"/>
      <x:c r="C24" s="30"/>
      <x:c r="D24" s="30"/>
      <x:c r="E24" s="30"/>
      <x:c r="F24" s="30"/>
      <x:c r="G24" s="30"/>
      <x:c r="H24" s="31"/>
      <x:c r="I24" s="32"/>
      <x:c r="J24" s="33"/>
      <x:c r="K24" s="30"/>
      <x:c r="L24" s="30"/>
      <x:c r="M24" s="30"/>
      <x:c r="N24" s="30"/>
      <x:c r="O24" s="31"/>
      <x:c r="P24" s="30"/>
      <x:c r="Q24" s="30"/>
      <x:c r="R24" s="34" t="str">
        <x:f>IF(AND($B24&lt;&gt;"",$G24&lt;&gt;"Done",$G24&lt;&gt;"Canceled",OR($L24="Yes",$H24&lt;=TODAY()+1,$F24="P0 Critical",$F24="P1 High",$G24="Blocked",$G24="Waiting on Others")),COUNT($R$5:R23)+1,"")</x:f>
      </x:c>
      <x:c r="S24" s="34" t="str">
        <x:f>IF(AND($B24&lt;&gt;"",$G24&lt;&gt;"Done",$G24&lt;&gt;"Canceled",OR($M24="Yes",$G24="Blocked",$G24="Waiting on Others")),COUNT($S$5:S23)+1,"")</x:f>
      </x:c>
    </x:row>
    <x:row r="25">
      <x:c r="A25" s="30"/>
      <x:c r="B25" s="30"/>
      <x:c r="C25" s="30"/>
      <x:c r="D25" s="30"/>
      <x:c r="E25" s="30"/>
      <x:c r="F25" s="30"/>
      <x:c r="G25" s="30"/>
      <x:c r="H25" s="31"/>
      <x:c r="I25" s="32"/>
      <x:c r="J25" s="33"/>
      <x:c r="K25" s="30"/>
      <x:c r="L25" s="30"/>
      <x:c r="M25" s="30"/>
      <x:c r="N25" s="30"/>
      <x:c r="O25" s="31"/>
      <x:c r="P25" s="30"/>
      <x:c r="Q25" s="30"/>
      <x:c r="R25" s="34" t="str">
        <x:f>IF(AND($B25&lt;&gt;"",$G25&lt;&gt;"Done",$G25&lt;&gt;"Canceled",OR($L25="Yes",$H25&lt;=TODAY()+1,$F25="P0 Critical",$F25="P1 High",$G25="Blocked",$G25="Waiting on Others")),COUNT($R$5:R24)+1,"")</x:f>
      </x:c>
      <x:c r="S25" s="34" t="str">
        <x:f>IF(AND($B25&lt;&gt;"",$G25&lt;&gt;"Done",$G25&lt;&gt;"Canceled",OR($M25="Yes",$G25="Blocked",$G25="Waiting on Others")),COUNT($S$5:S24)+1,"")</x:f>
      </x:c>
    </x:row>
    <x:row r="26">
      <x:c r="A26" s="30"/>
      <x:c r="B26" s="30"/>
      <x:c r="C26" s="30"/>
      <x:c r="D26" s="30"/>
      <x:c r="E26" s="30"/>
      <x:c r="F26" s="30"/>
      <x:c r="G26" s="30"/>
      <x:c r="H26" s="31"/>
      <x:c r="I26" s="32"/>
      <x:c r="J26" s="33"/>
      <x:c r="K26" s="30"/>
      <x:c r="L26" s="30"/>
      <x:c r="M26" s="30"/>
      <x:c r="N26" s="30"/>
      <x:c r="O26" s="31"/>
      <x:c r="P26" s="30"/>
      <x:c r="Q26" s="30"/>
      <x:c r="R26" s="34" t="str">
        <x:f>IF(AND($B26&lt;&gt;"",$G26&lt;&gt;"Done",$G26&lt;&gt;"Canceled",OR($L26="Yes",$H26&lt;=TODAY()+1,$F26="P0 Critical",$F26="P1 High",$G26="Blocked",$G26="Waiting on Others")),COUNT($R$5:R25)+1,"")</x:f>
      </x:c>
      <x:c r="S26" s="34" t="str">
        <x:f>IF(AND($B26&lt;&gt;"",$G26&lt;&gt;"Done",$G26&lt;&gt;"Canceled",OR($M26="Yes",$G26="Blocked",$G26="Waiting on Others")),COUNT($S$5:S25)+1,"")</x:f>
      </x:c>
    </x:row>
    <x:row r="27">
      <x:c r="A27" s="30"/>
      <x:c r="B27" s="30"/>
      <x:c r="C27" s="30"/>
      <x:c r="D27" s="30"/>
      <x:c r="E27" s="30"/>
      <x:c r="F27" s="30"/>
      <x:c r="G27" s="30"/>
      <x:c r="H27" s="31"/>
      <x:c r="I27" s="32"/>
      <x:c r="J27" s="33"/>
      <x:c r="K27" s="30"/>
      <x:c r="L27" s="30"/>
      <x:c r="M27" s="30"/>
      <x:c r="N27" s="30"/>
      <x:c r="O27" s="31"/>
      <x:c r="P27" s="30"/>
      <x:c r="Q27" s="30"/>
      <x:c r="R27" s="34" t="str">
        <x:f>IF(AND($B27&lt;&gt;"",$G27&lt;&gt;"Done",$G27&lt;&gt;"Canceled",OR($L27="Yes",$H27&lt;=TODAY()+1,$F27="P0 Critical",$F27="P1 High",$G27="Blocked",$G27="Waiting on Others")),COUNT($R$5:R26)+1,"")</x:f>
      </x:c>
      <x:c r="S27" s="34" t="str">
        <x:f>IF(AND($B27&lt;&gt;"",$G27&lt;&gt;"Done",$G27&lt;&gt;"Canceled",OR($M27="Yes",$G27="Blocked",$G27="Waiting on Others")),COUNT($S$5:S26)+1,"")</x:f>
      </x:c>
    </x:row>
    <x:row r="28">
      <x:c r="A28" s="30"/>
      <x:c r="B28" s="30"/>
      <x:c r="C28" s="30"/>
      <x:c r="D28" s="30"/>
      <x:c r="E28" s="30"/>
      <x:c r="F28" s="30"/>
      <x:c r="G28" s="30"/>
      <x:c r="H28" s="31"/>
      <x:c r="I28" s="32"/>
      <x:c r="J28" s="33"/>
      <x:c r="K28" s="30"/>
      <x:c r="L28" s="30"/>
      <x:c r="M28" s="30"/>
      <x:c r="N28" s="30"/>
      <x:c r="O28" s="31"/>
      <x:c r="P28" s="30"/>
      <x:c r="Q28" s="30"/>
      <x:c r="R28" s="34" t="str">
        <x:f>IF(AND($B28&lt;&gt;"",$G28&lt;&gt;"Done",$G28&lt;&gt;"Canceled",OR($L28="Yes",$H28&lt;=TODAY()+1,$F28="P0 Critical",$F28="P1 High",$G28="Blocked",$G28="Waiting on Others")),COUNT($R$5:R27)+1,"")</x:f>
      </x:c>
      <x:c r="S28" s="34" t="str">
        <x:f>IF(AND($B28&lt;&gt;"",$G28&lt;&gt;"Done",$G28&lt;&gt;"Canceled",OR($M28="Yes",$G28="Blocked",$G28="Waiting on Others")),COUNT($S$5:S27)+1,"")</x:f>
      </x:c>
    </x:row>
    <x:row r="29">
      <x:c r="A29" s="30"/>
      <x:c r="B29" s="30"/>
      <x:c r="C29" s="30"/>
      <x:c r="D29" s="30"/>
      <x:c r="E29" s="30"/>
      <x:c r="F29" s="30"/>
      <x:c r="G29" s="30"/>
      <x:c r="H29" s="31"/>
      <x:c r="I29" s="32"/>
      <x:c r="J29" s="33"/>
      <x:c r="K29" s="30"/>
      <x:c r="L29" s="30"/>
      <x:c r="M29" s="30"/>
      <x:c r="N29" s="30"/>
      <x:c r="O29" s="31"/>
      <x:c r="P29" s="30"/>
      <x:c r="Q29" s="30"/>
      <x:c r="R29" s="34" t="str">
        <x:f>IF(AND($B29&lt;&gt;"",$G29&lt;&gt;"Done",$G29&lt;&gt;"Canceled",OR($L29="Yes",$H29&lt;=TODAY()+1,$F29="P0 Critical",$F29="P1 High",$G29="Blocked",$G29="Waiting on Others")),COUNT($R$5:R28)+1,"")</x:f>
      </x:c>
      <x:c r="S29" s="34" t="str">
        <x:f>IF(AND($B29&lt;&gt;"",$G29&lt;&gt;"Done",$G29&lt;&gt;"Canceled",OR($M29="Yes",$G29="Blocked",$G29="Waiting on Others")),COUNT($S$5:S28)+1,"")</x:f>
      </x:c>
    </x:row>
    <x:row r="30">
      <x:c r="A30" s="30"/>
      <x:c r="B30" s="30"/>
      <x:c r="C30" s="30"/>
      <x:c r="D30" s="30"/>
      <x:c r="E30" s="30"/>
      <x:c r="F30" s="30"/>
      <x:c r="G30" s="30"/>
      <x:c r="H30" s="31"/>
      <x:c r="I30" s="32"/>
      <x:c r="J30" s="33"/>
      <x:c r="K30" s="30"/>
      <x:c r="L30" s="30"/>
      <x:c r="M30" s="30"/>
      <x:c r="N30" s="30"/>
      <x:c r="O30" s="31"/>
      <x:c r="P30" s="30"/>
      <x:c r="Q30" s="30"/>
      <x:c r="R30" s="34" t="str">
        <x:f>IF(AND($B30&lt;&gt;"",$G30&lt;&gt;"Done",$G30&lt;&gt;"Canceled",OR($L30="Yes",$H30&lt;=TODAY()+1,$F30="P0 Critical",$F30="P1 High",$G30="Blocked",$G30="Waiting on Others")),COUNT($R$5:R29)+1,"")</x:f>
      </x:c>
      <x:c r="S30" s="34" t="str">
        <x:f>IF(AND($B30&lt;&gt;"",$G30&lt;&gt;"Done",$G30&lt;&gt;"Canceled",OR($M30="Yes",$G30="Blocked",$G30="Waiting on Others")),COUNT($S$5:S29)+1,"")</x:f>
      </x:c>
    </x:row>
    <x:row r="31">
      <x:c r="A31" s="30"/>
      <x:c r="B31" s="30"/>
      <x:c r="C31" s="30"/>
      <x:c r="D31" s="30"/>
      <x:c r="E31" s="30"/>
      <x:c r="F31" s="30"/>
      <x:c r="G31" s="30"/>
      <x:c r="H31" s="31"/>
      <x:c r="I31" s="32"/>
      <x:c r="J31" s="33"/>
      <x:c r="K31" s="30"/>
      <x:c r="L31" s="30"/>
      <x:c r="M31" s="30"/>
      <x:c r="N31" s="30"/>
      <x:c r="O31" s="31"/>
      <x:c r="P31" s="30"/>
      <x:c r="Q31" s="30"/>
      <x:c r="R31" s="34" t="str">
        <x:f>IF(AND($B31&lt;&gt;"",$G31&lt;&gt;"Done",$G31&lt;&gt;"Canceled",OR($L31="Yes",$H31&lt;=TODAY()+1,$F31="P0 Critical",$F31="P1 High",$G31="Blocked",$G31="Waiting on Others")),COUNT($R$5:R30)+1,"")</x:f>
      </x:c>
      <x:c r="S31" s="34" t="str">
        <x:f>IF(AND($B31&lt;&gt;"",$G31&lt;&gt;"Done",$G31&lt;&gt;"Canceled",OR($M31="Yes",$G31="Blocked",$G31="Waiting on Others")),COUNT($S$5:S30)+1,"")</x:f>
      </x:c>
    </x:row>
    <x:row r="32">
      <x:c r="A32" s="30"/>
      <x:c r="B32" s="30"/>
      <x:c r="C32" s="30"/>
      <x:c r="D32" s="30"/>
      <x:c r="E32" s="30"/>
      <x:c r="F32" s="30"/>
      <x:c r="G32" s="30"/>
      <x:c r="H32" s="31"/>
      <x:c r="I32" s="32"/>
      <x:c r="J32" s="33"/>
      <x:c r="K32" s="30"/>
      <x:c r="L32" s="30"/>
      <x:c r="M32" s="30"/>
      <x:c r="N32" s="30"/>
      <x:c r="O32" s="31"/>
      <x:c r="P32" s="30"/>
      <x:c r="Q32" s="30"/>
      <x:c r="R32" s="34" t="str">
        <x:f>IF(AND($B32&lt;&gt;"",$G32&lt;&gt;"Done",$G32&lt;&gt;"Canceled",OR($L32="Yes",$H32&lt;=TODAY()+1,$F32="P0 Critical",$F32="P1 High",$G32="Blocked",$G32="Waiting on Others")),COUNT($R$5:R31)+1,"")</x:f>
      </x:c>
      <x:c r="S32" s="34" t="str">
        <x:f>IF(AND($B32&lt;&gt;"",$G32&lt;&gt;"Done",$G32&lt;&gt;"Canceled",OR($M32="Yes",$G32="Blocked",$G32="Waiting on Others")),COUNT($S$5:S31)+1,"")</x:f>
      </x:c>
    </x:row>
    <x:row r="33">
      <x:c r="A33" s="30"/>
      <x:c r="B33" s="30"/>
      <x:c r="C33" s="30"/>
      <x:c r="D33" s="30"/>
      <x:c r="E33" s="30"/>
      <x:c r="F33" s="30"/>
      <x:c r="G33" s="30"/>
      <x:c r="H33" s="31"/>
      <x:c r="I33" s="32"/>
      <x:c r="J33" s="33"/>
      <x:c r="K33" s="30"/>
      <x:c r="L33" s="30"/>
      <x:c r="M33" s="30"/>
      <x:c r="N33" s="30"/>
      <x:c r="O33" s="31"/>
      <x:c r="P33" s="30"/>
      <x:c r="Q33" s="30"/>
      <x:c r="R33" s="34" t="str">
        <x:f>IF(AND($B33&lt;&gt;"",$G33&lt;&gt;"Done",$G33&lt;&gt;"Canceled",OR($L33="Yes",$H33&lt;=TODAY()+1,$F33="P0 Critical",$F33="P1 High",$G33="Blocked",$G33="Waiting on Others")),COUNT($R$5:R32)+1,"")</x:f>
      </x:c>
      <x:c r="S33" s="34" t="str">
        <x:f>IF(AND($B33&lt;&gt;"",$G33&lt;&gt;"Done",$G33&lt;&gt;"Canceled",OR($M33="Yes",$G33="Blocked",$G33="Waiting on Others")),COUNT($S$5:S32)+1,"")</x:f>
      </x:c>
    </x:row>
    <x:row r="34">
      <x:c r="A34" s="30"/>
      <x:c r="B34" s="30"/>
      <x:c r="C34" s="30"/>
      <x:c r="D34" s="30"/>
      <x:c r="E34" s="30"/>
      <x:c r="F34" s="30"/>
      <x:c r="G34" s="30"/>
      <x:c r="H34" s="31"/>
      <x:c r="I34" s="32"/>
      <x:c r="J34" s="33"/>
      <x:c r="K34" s="30"/>
      <x:c r="L34" s="30"/>
      <x:c r="M34" s="30"/>
      <x:c r="N34" s="30"/>
      <x:c r="O34" s="31"/>
      <x:c r="P34" s="30"/>
      <x:c r="Q34" s="30"/>
      <x:c r="R34" s="34" t="str">
        <x:f>IF(AND($B34&lt;&gt;"",$G34&lt;&gt;"Done",$G34&lt;&gt;"Canceled",OR($L34="Yes",$H34&lt;=TODAY()+1,$F34="P0 Critical",$F34="P1 High",$G34="Blocked",$G34="Waiting on Others")),COUNT($R$5:R33)+1,"")</x:f>
      </x:c>
      <x:c r="S34" s="34" t="str">
        <x:f>IF(AND($B34&lt;&gt;"",$G34&lt;&gt;"Done",$G34&lt;&gt;"Canceled",OR($M34="Yes",$G34="Blocked",$G34="Waiting on Others")),COUNT($S$5:S33)+1,"")</x:f>
      </x:c>
    </x:row>
    <x:row r="35">
      <x:c r="A35" s="30"/>
      <x:c r="B35" s="30"/>
      <x:c r="C35" s="30"/>
      <x:c r="D35" s="30"/>
      <x:c r="E35" s="30"/>
      <x:c r="F35" s="30"/>
      <x:c r="G35" s="30"/>
      <x:c r="H35" s="31"/>
      <x:c r="I35" s="32"/>
      <x:c r="J35" s="33"/>
      <x:c r="K35" s="30"/>
      <x:c r="L35" s="30"/>
      <x:c r="M35" s="30"/>
      <x:c r="N35" s="30"/>
      <x:c r="O35" s="31"/>
      <x:c r="P35" s="30"/>
      <x:c r="Q35" s="30"/>
      <x:c r="R35" s="34" t="str">
        <x:f>IF(AND($B35&lt;&gt;"",$G35&lt;&gt;"Done",$G35&lt;&gt;"Canceled",OR($L35="Yes",$H35&lt;=TODAY()+1,$F35="P0 Critical",$F35="P1 High",$G35="Blocked",$G35="Waiting on Others")),COUNT($R$5:R34)+1,"")</x:f>
      </x:c>
      <x:c r="S35" s="34" t="str">
        <x:f>IF(AND($B35&lt;&gt;"",$G35&lt;&gt;"Done",$G35&lt;&gt;"Canceled",OR($M35="Yes",$G35="Blocked",$G35="Waiting on Others")),COUNT($S$5:S34)+1,"")</x:f>
      </x:c>
    </x:row>
    <x:row r="36">
      <x:c r="A36" s="30"/>
      <x:c r="B36" s="30"/>
      <x:c r="C36" s="30"/>
      <x:c r="D36" s="30"/>
      <x:c r="E36" s="30"/>
      <x:c r="F36" s="30"/>
      <x:c r="G36" s="30"/>
      <x:c r="H36" s="31"/>
      <x:c r="I36" s="32"/>
      <x:c r="J36" s="33"/>
      <x:c r="K36" s="30"/>
      <x:c r="L36" s="30"/>
      <x:c r="M36" s="30"/>
      <x:c r="N36" s="30"/>
      <x:c r="O36" s="31"/>
      <x:c r="P36" s="30"/>
      <x:c r="Q36" s="30"/>
      <x:c r="R36" s="34" t="str">
        <x:f>IF(AND($B36&lt;&gt;"",$G36&lt;&gt;"Done",$G36&lt;&gt;"Canceled",OR($L36="Yes",$H36&lt;=TODAY()+1,$F36="P0 Critical",$F36="P1 High",$G36="Blocked",$G36="Waiting on Others")),COUNT($R$5:R35)+1,"")</x:f>
      </x:c>
      <x:c r="S36" s="34" t="str">
        <x:f>IF(AND($B36&lt;&gt;"",$G36&lt;&gt;"Done",$G36&lt;&gt;"Canceled",OR($M36="Yes",$G36="Blocked",$G36="Waiting on Others")),COUNT($S$5:S35)+1,"")</x:f>
      </x:c>
    </x:row>
    <x:row r="37">
      <x:c r="A37" s="30"/>
      <x:c r="B37" s="30"/>
      <x:c r="C37" s="30"/>
      <x:c r="D37" s="30"/>
      <x:c r="E37" s="30"/>
      <x:c r="F37" s="30"/>
      <x:c r="G37" s="30"/>
      <x:c r="H37" s="31"/>
      <x:c r="I37" s="32"/>
      <x:c r="J37" s="33"/>
      <x:c r="K37" s="30"/>
      <x:c r="L37" s="30"/>
      <x:c r="M37" s="30"/>
      <x:c r="N37" s="30"/>
      <x:c r="O37" s="31"/>
      <x:c r="P37" s="30"/>
      <x:c r="Q37" s="30"/>
      <x:c r="R37" s="34" t="str">
        <x:f>IF(AND($B37&lt;&gt;"",$G37&lt;&gt;"Done",$G37&lt;&gt;"Canceled",OR($L37="Yes",$H37&lt;=TODAY()+1,$F37="P0 Critical",$F37="P1 High",$G37="Blocked",$G37="Waiting on Others")),COUNT($R$5:R36)+1,"")</x:f>
      </x:c>
      <x:c r="S37" s="34" t="str">
        <x:f>IF(AND($B37&lt;&gt;"",$G37&lt;&gt;"Done",$G37&lt;&gt;"Canceled",OR($M37="Yes",$G37="Blocked",$G37="Waiting on Others")),COUNT($S$5:S36)+1,"")</x:f>
      </x:c>
    </x:row>
    <x:row r="38">
      <x:c r="A38" s="30"/>
      <x:c r="B38" s="30"/>
      <x:c r="C38" s="30"/>
      <x:c r="D38" s="30"/>
      <x:c r="E38" s="30"/>
      <x:c r="F38" s="30"/>
      <x:c r="G38" s="30"/>
      <x:c r="H38" s="31"/>
      <x:c r="I38" s="32"/>
      <x:c r="J38" s="33"/>
      <x:c r="K38" s="30"/>
      <x:c r="L38" s="30"/>
      <x:c r="M38" s="30"/>
      <x:c r="N38" s="30"/>
      <x:c r="O38" s="31"/>
      <x:c r="P38" s="30"/>
      <x:c r="Q38" s="30"/>
      <x:c r="R38" s="34" t="str">
        <x:f>IF(AND($B38&lt;&gt;"",$G38&lt;&gt;"Done",$G38&lt;&gt;"Canceled",OR($L38="Yes",$H38&lt;=TODAY()+1,$F38="P0 Critical",$F38="P1 High",$G38="Blocked",$G38="Waiting on Others")),COUNT($R$5:R37)+1,"")</x:f>
      </x:c>
      <x:c r="S38" s="34" t="str">
        <x:f>IF(AND($B38&lt;&gt;"",$G38&lt;&gt;"Done",$G38&lt;&gt;"Canceled",OR($M38="Yes",$G38="Blocked",$G38="Waiting on Others")),COUNT($S$5:S37)+1,"")</x:f>
      </x:c>
    </x:row>
    <x:row r="39">
      <x:c r="A39" s="30"/>
      <x:c r="B39" s="30"/>
      <x:c r="C39" s="30"/>
      <x:c r="D39" s="30"/>
      <x:c r="E39" s="30"/>
      <x:c r="F39" s="30"/>
      <x:c r="G39" s="30"/>
      <x:c r="H39" s="31"/>
      <x:c r="I39" s="32"/>
      <x:c r="J39" s="33"/>
      <x:c r="K39" s="30"/>
      <x:c r="L39" s="30"/>
      <x:c r="M39" s="30"/>
      <x:c r="N39" s="30"/>
      <x:c r="O39" s="31"/>
      <x:c r="P39" s="30"/>
      <x:c r="Q39" s="30"/>
      <x:c r="R39" s="34" t="str">
        <x:f>IF(AND($B39&lt;&gt;"",$G39&lt;&gt;"Done",$G39&lt;&gt;"Canceled",OR($L39="Yes",$H39&lt;=TODAY()+1,$F39="P0 Critical",$F39="P1 High",$G39="Blocked",$G39="Waiting on Others")),COUNT($R$5:R38)+1,"")</x:f>
      </x:c>
      <x:c r="S39" s="34" t="str">
        <x:f>IF(AND($B39&lt;&gt;"",$G39&lt;&gt;"Done",$G39&lt;&gt;"Canceled",OR($M39="Yes",$G39="Blocked",$G39="Waiting on Others")),COUNT($S$5:S38)+1,"")</x:f>
      </x:c>
    </x:row>
    <x:row r="40">
      <x:c r="A40" s="30"/>
      <x:c r="B40" s="30"/>
      <x:c r="C40" s="30"/>
      <x:c r="D40" s="30"/>
      <x:c r="E40" s="30"/>
      <x:c r="F40" s="30"/>
      <x:c r="G40" s="30"/>
      <x:c r="H40" s="31"/>
      <x:c r="I40" s="32"/>
      <x:c r="J40" s="33"/>
      <x:c r="K40" s="30"/>
      <x:c r="L40" s="30"/>
      <x:c r="M40" s="30"/>
      <x:c r="N40" s="30"/>
      <x:c r="O40" s="31"/>
      <x:c r="P40" s="30"/>
      <x:c r="Q40" s="30"/>
      <x:c r="R40" s="34" t="str">
        <x:f>IF(AND($B40&lt;&gt;"",$G40&lt;&gt;"Done",$G40&lt;&gt;"Canceled",OR($L40="Yes",$H40&lt;=TODAY()+1,$F40="P0 Critical",$F40="P1 High",$G40="Blocked",$G40="Waiting on Others")),COUNT($R$5:R39)+1,"")</x:f>
      </x:c>
      <x:c r="S40" s="34" t="str">
        <x:f>IF(AND($B40&lt;&gt;"",$G40&lt;&gt;"Done",$G40&lt;&gt;"Canceled",OR($M40="Yes",$G40="Blocked",$G40="Waiting on Others")),COUNT($S$5:S39)+1,"")</x:f>
      </x:c>
    </x:row>
    <x:row r="41">
      <x:c r="A41" s="30"/>
      <x:c r="B41" s="30"/>
      <x:c r="C41" s="30"/>
      <x:c r="D41" s="30"/>
      <x:c r="E41" s="30"/>
      <x:c r="F41" s="30"/>
      <x:c r="G41" s="30"/>
      <x:c r="H41" s="31"/>
      <x:c r="I41" s="32"/>
      <x:c r="J41" s="33"/>
      <x:c r="K41" s="30"/>
      <x:c r="L41" s="30"/>
      <x:c r="M41" s="30"/>
      <x:c r="N41" s="30"/>
      <x:c r="O41" s="31"/>
      <x:c r="P41" s="30"/>
      <x:c r="Q41" s="30"/>
      <x:c r="R41" s="34" t="str">
        <x:f>IF(AND($B41&lt;&gt;"",$G41&lt;&gt;"Done",$G41&lt;&gt;"Canceled",OR($L41="Yes",$H41&lt;=TODAY()+1,$F41="P0 Critical",$F41="P1 High",$G41="Blocked",$G41="Waiting on Others")),COUNT($R$5:R40)+1,"")</x:f>
      </x:c>
      <x:c r="S41" s="34" t="str">
        <x:f>IF(AND($B41&lt;&gt;"",$G41&lt;&gt;"Done",$G41&lt;&gt;"Canceled",OR($M41="Yes",$G41="Blocked",$G41="Waiting on Others")),COUNT($S$5:S40)+1,"")</x:f>
      </x:c>
    </x:row>
    <x:row r="42">
      <x:c r="A42" s="30"/>
      <x:c r="B42" s="30"/>
      <x:c r="C42" s="30"/>
      <x:c r="D42" s="30"/>
      <x:c r="E42" s="30"/>
      <x:c r="F42" s="30"/>
      <x:c r="G42" s="30"/>
      <x:c r="H42" s="31"/>
      <x:c r="I42" s="32"/>
      <x:c r="J42" s="33"/>
      <x:c r="K42" s="30"/>
      <x:c r="L42" s="30"/>
      <x:c r="M42" s="30"/>
      <x:c r="N42" s="30"/>
      <x:c r="O42" s="31"/>
      <x:c r="P42" s="30"/>
      <x:c r="Q42" s="30"/>
      <x:c r="R42" s="34" t="str">
        <x:f>IF(AND($B42&lt;&gt;"",$G42&lt;&gt;"Done",$G42&lt;&gt;"Canceled",OR($L42="Yes",$H42&lt;=TODAY()+1,$F42="P0 Critical",$F42="P1 High",$G42="Blocked",$G42="Waiting on Others")),COUNT($R$5:R41)+1,"")</x:f>
      </x:c>
      <x:c r="S42" s="34" t="str">
        <x:f>IF(AND($B42&lt;&gt;"",$G42&lt;&gt;"Done",$G42&lt;&gt;"Canceled",OR($M42="Yes",$G42="Blocked",$G42="Waiting on Others")),COUNT($S$5:S41)+1,"")</x:f>
      </x:c>
    </x:row>
    <x:row r="43">
      <x:c r="A43" s="30"/>
      <x:c r="B43" s="30"/>
      <x:c r="C43" s="30"/>
      <x:c r="D43" s="30"/>
      <x:c r="E43" s="30"/>
      <x:c r="F43" s="30"/>
      <x:c r="G43" s="30"/>
      <x:c r="H43" s="31"/>
      <x:c r="I43" s="32"/>
      <x:c r="J43" s="33"/>
      <x:c r="K43" s="30"/>
      <x:c r="L43" s="30"/>
      <x:c r="M43" s="30"/>
      <x:c r="N43" s="30"/>
      <x:c r="O43" s="31"/>
      <x:c r="P43" s="30"/>
      <x:c r="Q43" s="30"/>
      <x:c r="R43" s="34" t="str">
        <x:f>IF(AND($B43&lt;&gt;"",$G43&lt;&gt;"Done",$G43&lt;&gt;"Canceled",OR($L43="Yes",$H43&lt;=TODAY()+1,$F43="P0 Critical",$F43="P1 High",$G43="Blocked",$G43="Waiting on Others")),COUNT($R$5:R42)+1,"")</x:f>
      </x:c>
      <x:c r="S43" s="34" t="str">
        <x:f>IF(AND($B43&lt;&gt;"",$G43&lt;&gt;"Done",$G43&lt;&gt;"Canceled",OR($M43="Yes",$G43="Blocked",$G43="Waiting on Others")),COUNT($S$5:S42)+1,"")</x:f>
      </x:c>
    </x:row>
    <x:row r="44">
      <x:c r="A44" s="30"/>
      <x:c r="B44" s="30"/>
      <x:c r="C44" s="30"/>
      <x:c r="D44" s="30"/>
      <x:c r="E44" s="30"/>
      <x:c r="F44" s="30"/>
      <x:c r="G44" s="30"/>
      <x:c r="H44" s="31"/>
      <x:c r="I44" s="32"/>
      <x:c r="J44" s="33"/>
      <x:c r="K44" s="30"/>
      <x:c r="L44" s="30"/>
      <x:c r="M44" s="30"/>
      <x:c r="N44" s="30"/>
      <x:c r="O44" s="31"/>
      <x:c r="P44" s="30"/>
      <x:c r="Q44" s="30"/>
      <x:c r="R44" s="34" t="str">
        <x:f>IF(AND($B44&lt;&gt;"",$G44&lt;&gt;"Done",$G44&lt;&gt;"Canceled",OR($L44="Yes",$H44&lt;=TODAY()+1,$F44="P0 Critical",$F44="P1 High",$G44="Blocked",$G44="Waiting on Others")),COUNT($R$5:R43)+1,"")</x:f>
      </x:c>
      <x:c r="S44" s="34" t="str">
        <x:f>IF(AND($B44&lt;&gt;"",$G44&lt;&gt;"Done",$G44&lt;&gt;"Canceled",OR($M44="Yes",$G44="Blocked",$G44="Waiting on Others")),COUNT($S$5:S43)+1,"")</x:f>
      </x:c>
    </x:row>
    <x:row r="45">
      <x:c r="A45" s="30"/>
      <x:c r="B45" s="30"/>
      <x:c r="C45" s="30"/>
      <x:c r="D45" s="30"/>
      <x:c r="E45" s="30"/>
      <x:c r="F45" s="30"/>
      <x:c r="G45" s="30"/>
      <x:c r="H45" s="31"/>
      <x:c r="I45" s="32"/>
      <x:c r="J45" s="33"/>
      <x:c r="K45" s="30"/>
      <x:c r="L45" s="30"/>
      <x:c r="M45" s="30"/>
      <x:c r="N45" s="30"/>
      <x:c r="O45" s="31"/>
      <x:c r="P45" s="30"/>
      <x:c r="Q45" s="30"/>
      <x:c r="R45" s="34" t="str">
        <x:f>IF(AND($B45&lt;&gt;"",$G45&lt;&gt;"Done",$G45&lt;&gt;"Canceled",OR($L45="Yes",$H45&lt;=TODAY()+1,$F45="P0 Critical",$F45="P1 High",$G45="Blocked",$G45="Waiting on Others")),COUNT($R$5:R44)+1,"")</x:f>
      </x:c>
      <x:c r="S45" s="34" t="str">
        <x:f>IF(AND($B45&lt;&gt;"",$G45&lt;&gt;"Done",$G45&lt;&gt;"Canceled",OR($M45="Yes",$G45="Blocked",$G45="Waiting on Others")),COUNT($S$5:S44)+1,"")</x:f>
      </x:c>
    </x:row>
    <x:row r="46">
      <x:c r="A46" s="30"/>
      <x:c r="B46" s="30"/>
      <x:c r="C46" s="30"/>
      <x:c r="D46" s="30"/>
      <x:c r="E46" s="30"/>
      <x:c r="F46" s="30"/>
      <x:c r="G46" s="30"/>
      <x:c r="H46" s="31"/>
      <x:c r="I46" s="32"/>
      <x:c r="J46" s="33"/>
      <x:c r="K46" s="30"/>
      <x:c r="L46" s="30"/>
      <x:c r="M46" s="30"/>
      <x:c r="N46" s="30"/>
      <x:c r="O46" s="31"/>
      <x:c r="P46" s="30"/>
      <x:c r="Q46" s="30"/>
      <x:c r="R46" s="34" t="str">
        <x:f>IF(AND($B46&lt;&gt;"",$G46&lt;&gt;"Done",$G46&lt;&gt;"Canceled",OR($L46="Yes",$H46&lt;=TODAY()+1,$F46="P0 Critical",$F46="P1 High",$G46="Blocked",$G46="Waiting on Others")),COUNT($R$5:R45)+1,"")</x:f>
      </x:c>
      <x:c r="S46" s="34" t="str">
        <x:f>IF(AND($B46&lt;&gt;"",$G46&lt;&gt;"Done",$G46&lt;&gt;"Canceled",OR($M46="Yes",$G46="Blocked",$G46="Waiting on Others")),COUNT($S$5:S45)+1,"")</x:f>
      </x:c>
    </x:row>
    <x:row r="47">
      <x:c r="A47" s="30"/>
      <x:c r="B47" s="30"/>
      <x:c r="C47" s="30"/>
      <x:c r="D47" s="30"/>
      <x:c r="E47" s="30"/>
      <x:c r="F47" s="30"/>
      <x:c r="G47" s="30"/>
      <x:c r="H47" s="31"/>
      <x:c r="I47" s="32"/>
      <x:c r="J47" s="33"/>
      <x:c r="K47" s="30"/>
      <x:c r="L47" s="30"/>
      <x:c r="M47" s="30"/>
      <x:c r="N47" s="30"/>
      <x:c r="O47" s="31"/>
      <x:c r="P47" s="30"/>
      <x:c r="Q47" s="30"/>
      <x:c r="R47" s="34" t="str">
        <x:f>IF(AND($B47&lt;&gt;"",$G47&lt;&gt;"Done",$G47&lt;&gt;"Canceled",OR($L47="Yes",$H47&lt;=TODAY()+1,$F47="P0 Critical",$F47="P1 High",$G47="Blocked",$G47="Waiting on Others")),COUNT($R$5:R46)+1,"")</x:f>
      </x:c>
      <x:c r="S47" s="34" t="str">
        <x:f>IF(AND($B47&lt;&gt;"",$G47&lt;&gt;"Done",$G47&lt;&gt;"Canceled",OR($M47="Yes",$G47="Blocked",$G47="Waiting on Others")),COUNT($S$5:S46)+1,"")</x:f>
      </x:c>
    </x:row>
    <x:row r="48">
      <x:c r="A48" s="30"/>
      <x:c r="B48" s="30"/>
      <x:c r="C48" s="30"/>
      <x:c r="D48" s="30"/>
      <x:c r="E48" s="30"/>
      <x:c r="F48" s="30"/>
      <x:c r="G48" s="30"/>
      <x:c r="H48" s="31"/>
      <x:c r="I48" s="32"/>
      <x:c r="J48" s="33"/>
      <x:c r="K48" s="30"/>
      <x:c r="L48" s="30"/>
      <x:c r="M48" s="30"/>
      <x:c r="N48" s="30"/>
      <x:c r="O48" s="31"/>
      <x:c r="P48" s="30"/>
      <x:c r="Q48" s="30"/>
      <x:c r="R48" s="34" t="str">
        <x:f>IF(AND($B48&lt;&gt;"",$G48&lt;&gt;"Done",$G48&lt;&gt;"Canceled",OR($L48="Yes",$H48&lt;=TODAY()+1,$F48="P0 Critical",$F48="P1 High",$G48="Blocked",$G48="Waiting on Others")),COUNT($R$5:R47)+1,"")</x:f>
      </x:c>
      <x:c r="S48" s="34" t="str">
        <x:f>IF(AND($B48&lt;&gt;"",$G48&lt;&gt;"Done",$G48&lt;&gt;"Canceled",OR($M48="Yes",$G48="Blocked",$G48="Waiting on Others")),COUNT($S$5:S47)+1,"")</x:f>
      </x:c>
    </x:row>
    <x:row r="49">
      <x:c r="A49" s="30"/>
      <x:c r="B49" s="30"/>
      <x:c r="C49" s="30"/>
      <x:c r="D49" s="30"/>
      <x:c r="E49" s="30"/>
      <x:c r="F49" s="30"/>
      <x:c r="G49" s="30"/>
      <x:c r="H49" s="31"/>
      <x:c r="I49" s="32"/>
      <x:c r="J49" s="33"/>
      <x:c r="K49" s="30"/>
      <x:c r="L49" s="30"/>
      <x:c r="M49" s="30"/>
      <x:c r="N49" s="30"/>
      <x:c r="O49" s="31"/>
      <x:c r="P49" s="30"/>
      <x:c r="Q49" s="30"/>
      <x:c r="R49" s="34" t="str">
        <x:f>IF(AND($B49&lt;&gt;"",$G49&lt;&gt;"Done",$G49&lt;&gt;"Canceled",OR($L49="Yes",$H49&lt;=TODAY()+1,$F49="P0 Critical",$F49="P1 High",$G49="Blocked",$G49="Waiting on Others")),COUNT($R$5:R48)+1,"")</x:f>
      </x:c>
      <x:c r="S49" s="34" t="str">
        <x:f>IF(AND($B49&lt;&gt;"",$G49&lt;&gt;"Done",$G49&lt;&gt;"Canceled",OR($M49="Yes",$G49="Blocked",$G49="Waiting on Others")),COUNT($S$5:S48)+1,"")</x:f>
      </x:c>
    </x:row>
    <x:row r="50">
      <x:c r="A50" s="30"/>
      <x:c r="B50" s="30"/>
      <x:c r="C50" s="30"/>
      <x:c r="D50" s="30"/>
      <x:c r="E50" s="30"/>
      <x:c r="F50" s="30"/>
      <x:c r="G50" s="30"/>
      <x:c r="H50" s="31"/>
      <x:c r="I50" s="32"/>
      <x:c r="J50" s="33"/>
      <x:c r="K50" s="30"/>
      <x:c r="L50" s="30"/>
      <x:c r="M50" s="30"/>
      <x:c r="N50" s="30"/>
      <x:c r="O50" s="31"/>
      <x:c r="P50" s="30"/>
      <x:c r="Q50" s="30"/>
      <x:c r="R50" s="34" t="str">
        <x:f>IF(AND($B50&lt;&gt;"",$G50&lt;&gt;"Done",$G50&lt;&gt;"Canceled",OR($L50="Yes",$H50&lt;=TODAY()+1,$F50="P0 Critical",$F50="P1 High",$G50="Blocked",$G50="Waiting on Others")),COUNT($R$5:R49)+1,"")</x:f>
      </x:c>
      <x:c r="S50" s="34" t="str">
        <x:f>IF(AND($B50&lt;&gt;"",$G50&lt;&gt;"Done",$G50&lt;&gt;"Canceled",OR($M50="Yes",$G50="Blocked",$G50="Waiting on Others")),COUNT($S$5:S49)+1,"")</x:f>
      </x:c>
    </x:row>
    <x:row r="51">
      <x:c r="A51" s="30"/>
      <x:c r="B51" s="30"/>
      <x:c r="C51" s="30"/>
      <x:c r="D51" s="30"/>
      <x:c r="E51" s="30"/>
      <x:c r="F51" s="30"/>
      <x:c r="G51" s="30"/>
      <x:c r="H51" s="31"/>
      <x:c r="I51" s="32"/>
      <x:c r="J51" s="33"/>
      <x:c r="K51" s="30"/>
      <x:c r="L51" s="30"/>
      <x:c r="M51" s="30"/>
      <x:c r="N51" s="30"/>
      <x:c r="O51" s="31"/>
      <x:c r="P51" s="30"/>
      <x:c r="Q51" s="30"/>
      <x:c r="R51" s="34" t="str">
        <x:f>IF(AND($B51&lt;&gt;"",$G51&lt;&gt;"Done",$G51&lt;&gt;"Canceled",OR($L51="Yes",$H51&lt;=TODAY()+1,$F51="P0 Critical",$F51="P1 High",$G51="Blocked",$G51="Waiting on Others")),COUNT($R$5:R50)+1,"")</x:f>
      </x:c>
      <x:c r="S51" s="34" t="str">
        <x:f>IF(AND($B51&lt;&gt;"",$G51&lt;&gt;"Done",$G51&lt;&gt;"Canceled",OR($M51="Yes",$G51="Blocked",$G51="Waiting on Others")),COUNT($S$5:S50)+1,"")</x:f>
      </x:c>
    </x:row>
    <x:row r="52">
      <x:c r="A52" s="30"/>
      <x:c r="B52" s="30"/>
      <x:c r="C52" s="30"/>
      <x:c r="D52" s="30"/>
      <x:c r="E52" s="30"/>
      <x:c r="F52" s="30"/>
      <x:c r="G52" s="30"/>
      <x:c r="H52" s="31"/>
      <x:c r="I52" s="32"/>
      <x:c r="J52" s="33"/>
      <x:c r="K52" s="30"/>
      <x:c r="L52" s="30"/>
      <x:c r="M52" s="30"/>
      <x:c r="N52" s="30"/>
      <x:c r="O52" s="31"/>
      <x:c r="P52" s="30"/>
      <x:c r="Q52" s="30"/>
      <x:c r="R52" s="34" t="str">
        <x:f>IF(AND($B52&lt;&gt;"",$G52&lt;&gt;"Done",$G52&lt;&gt;"Canceled",OR($L52="Yes",$H52&lt;=TODAY()+1,$F52="P0 Critical",$F52="P1 High",$G52="Blocked",$G52="Waiting on Others")),COUNT($R$5:R51)+1,"")</x:f>
      </x:c>
      <x:c r="S52" s="34" t="str">
        <x:f>IF(AND($B52&lt;&gt;"",$G52&lt;&gt;"Done",$G52&lt;&gt;"Canceled",OR($M52="Yes",$G52="Blocked",$G52="Waiting on Others")),COUNT($S$5:S51)+1,"")</x:f>
      </x:c>
    </x:row>
    <x:row r="53">
      <x:c r="A53" s="30"/>
      <x:c r="B53" s="30"/>
      <x:c r="C53" s="30"/>
      <x:c r="D53" s="30"/>
      <x:c r="E53" s="30"/>
      <x:c r="F53" s="30"/>
      <x:c r="G53" s="30"/>
      <x:c r="H53" s="31"/>
      <x:c r="I53" s="32"/>
      <x:c r="J53" s="33"/>
      <x:c r="K53" s="30"/>
      <x:c r="L53" s="30"/>
      <x:c r="M53" s="30"/>
      <x:c r="N53" s="30"/>
      <x:c r="O53" s="31"/>
      <x:c r="P53" s="30"/>
      <x:c r="Q53" s="30"/>
      <x:c r="R53" s="34" t="str">
        <x:f>IF(AND($B53&lt;&gt;"",$G53&lt;&gt;"Done",$G53&lt;&gt;"Canceled",OR($L53="Yes",$H53&lt;=TODAY()+1,$F53="P0 Critical",$F53="P1 High",$G53="Blocked",$G53="Waiting on Others")),COUNT($R$5:R52)+1,"")</x:f>
      </x:c>
      <x:c r="S53" s="34" t="str">
        <x:f>IF(AND($B53&lt;&gt;"",$G53&lt;&gt;"Done",$G53&lt;&gt;"Canceled",OR($M53="Yes",$G53="Blocked",$G53="Waiting on Others")),COUNT($S$5:S52)+1,"")</x:f>
      </x:c>
    </x:row>
    <x:row r="54">
      <x:c r="A54" s="30"/>
      <x:c r="B54" s="30"/>
      <x:c r="C54" s="30"/>
      <x:c r="D54" s="30"/>
      <x:c r="E54" s="30"/>
      <x:c r="F54" s="30"/>
      <x:c r="G54" s="30"/>
      <x:c r="H54" s="31"/>
      <x:c r="I54" s="32"/>
      <x:c r="J54" s="33"/>
      <x:c r="K54" s="30"/>
      <x:c r="L54" s="30"/>
      <x:c r="M54" s="30"/>
      <x:c r="N54" s="30"/>
      <x:c r="O54" s="31"/>
      <x:c r="P54" s="30"/>
      <x:c r="Q54" s="30"/>
      <x:c r="R54" s="34" t="str">
        <x:f>IF(AND($B54&lt;&gt;"",$G54&lt;&gt;"Done",$G54&lt;&gt;"Canceled",OR($L54="Yes",$H54&lt;=TODAY()+1,$F54="P0 Critical",$F54="P1 High",$G54="Blocked",$G54="Waiting on Others")),COUNT($R$5:R53)+1,"")</x:f>
      </x:c>
      <x:c r="S54" s="34" t="str">
        <x:f>IF(AND($B54&lt;&gt;"",$G54&lt;&gt;"Done",$G54&lt;&gt;"Canceled",OR($M54="Yes",$G54="Blocked",$G54="Waiting on Others")),COUNT($S$5:S53)+1,"")</x:f>
      </x:c>
    </x:row>
    <x:row r="55">
      <x:c r="A55" s="30"/>
      <x:c r="B55" s="30"/>
      <x:c r="C55" s="30"/>
      <x:c r="D55" s="30"/>
      <x:c r="E55" s="30"/>
      <x:c r="F55" s="30"/>
      <x:c r="G55" s="30"/>
      <x:c r="H55" s="31"/>
      <x:c r="I55" s="32"/>
      <x:c r="J55" s="33"/>
      <x:c r="K55" s="30"/>
      <x:c r="L55" s="30"/>
      <x:c r="M55" s="30"/>
      <x:c r="N55" s="30"/>
      <x:c r="O55" s="31"/>
      <x:c r="P55" s="30"/>
      <x:c r="Q55" s="30"/>
      <x:c r="R55" s="34" t="str">
        <x:f>IF(AND($B55&lt;&gt;"",$G55&lt;&gt;"Done",$G55&lt;&gt;"Canceled",OR($L55="Yes",$H55&lt;=TODAY()+1,$F55="P0 Critical",$F55="P1 High",$G55="Blocked",$G55="Waiting on Others")),COUNT($R$5:R54)+1,"")</x:f>
      </x:c>
      <x:c r="S55" s="34" t="str">
        <x:f>IF(AND($B55&lt;&gt;"",$G55&lt;&gt;"Done",$G55&lt;&gt;"Canceled",OR($M55="Yes",$G55="Blocked",$G55="Waiting on Others")),COUNT($S$5:S54)+1,"")</x:f>
      </x:c>
    </x:row>
    <x:row r="56">
      <x:c r="A56" s="30"/>
      <x:c r="B56" s="30"/>
      <x:c r="C56" s="30"/>
      <x:c r="D56" s="30"/>
      <x:c r="E56" s="30"/>
      <x:c r="F56" s="30"/>
      <x:c r="G56" s="30"/>
      <x:c r="H56" s="31"/>
      <x:c r="I56" s="32"/>
      <x:c r="J56" s="33"/>
      <x:c r="K56" s="30"/>
      <x:c r="L56" s="30"/>
      <x:c r="M56" s="30"/>
      <x:c r="N56" s="30"/>
      <x:c r="O56" s="31"/>
      <x:c r="P56" s="30"/>
      <x:c r="Q56" s="30"/>
      <x:c r="R56" s="34" t="str">
        <x:f>IF(AND($B56&lt;&gt;"",$G56&lt;&gt;"Done",$G56&lt;&gt;"Canceled",OR($L56="Yes",$H56&lt;=TODAY()+1,$F56="P0 Critical",$F56="P1 High",$G56="Blocked",$G56="Waiting on Others")),COUNT($R$5:R55)+1,"")</x:f>
      </x:c>
      <x:c r="S56" s="34" t="str">
        <x:f>IF(AND($B56&lt;&gt;"",$G56&lt;&gt;"Done",$G56&lt;&gt;"Canceled",OR($M56="Yes",$G56="Blocked",$G56="Waiting on Others")),COUNT($S$5:S55)+1,"")</x:f>
      </x:c>
    </x:row>
    <x:row r="57">
      <x:c r="A57" s="30"/>
      <x:c r="B57" s="30"/>
      <x:c r="C57" s="30"/>
      <x:c r="D57" s="30"/>
      <x:c r="E57" s="30"/>
      <x:c r="F57" s="30"/>
      <x:c r="G57" s="30"/>
      <x:c r="H57" s="31"/>
      <x:c r="I57" s="32"/>
      <x:c r="J57" s="33"/>
      <x:c r="K57" s="30"/>
      <x:c r="L57" s="30"/>
      <x:c r="M57" s="30"/>
      <x:c r="N57" s="30"/>
      <x:c r="O57" s="31"/>
      <x:c r="P57" s="30"/>
      <x:c r="Q57" s="30"/>
      <x:c r="R57" s="34" t="str">
        <x:f>IF(AND($B57&lt;&gt;"",$G57&lt;&gt;"Done",$G57&lt;&gt;"Canceled",OR($L57="Yes",$H57&lt;=TODAY()+1,$F57="P0 Critical",$F57="P1 High",$G57="Blocked",$G57="Waiting on Others")),COUNT($R$5:R56)+1,"")</x:f>
      </x:c>
      <x:c r="S57" s="34" t="str">
        <x:f>IF(AND($B57&lt;&gt;"",$G57&lt;&gt;"Done",$G57&lt;&gt;"Canceled",OR($M57="Yes",$G57="Blocked",$G57="Waiting on Others")),COUNT($S$5:S56)+1,"")</x:f>
      </x:c>
    </x:row>
    <x:row r="58">
      <x:c r="A58" s="30"/>
      <x:c r="B58" s="30"/>
      <x:c r="C58" s="30"/>
      <x:c r="D58" s="30"/>
      <x:c r="E58" s="30"/>
      <x:c r="F58" s="30"/>
      <x:c r="G58" s="30"/>
      <x:c r="H58" s="31"/>
      <x:c r="I58" s="32"/>
      <x:c r="J58" s="33"/>
      <x:c r="K58" s="30"/>
      <x:c r="L58" s="30"/>
      <x:c r="M58" s="30"/>
      <x:c r="N58" s="30"/>
      <x:c r="O58" s="31"/>
      <x:c r="P58" s="30"/>
      <x:c r="Q58" s="30"/>
      <x:c r="R58" s="34" t="str">
        <x:f>IF(AND($B58&lt;&gt;"",$G58&lt;&gt;"Done",$G58&lt;&gt;"Canceled",OR($L58="Yes",$H58&lt;=TODAY()+1,$F58="P0 Critical",$F58="P1 High",$G58="Blocked",$G58="Waiting on Others")),COUNT($R$5:R57)+1,"")</x:f>
      </x:c>
      <x:c r="S58" s="34" t="str">
        <x:f>IF(AND($B58&lt;&gt;"",$G58&lt;&gt;"Done",$G58&lt;&gt;"Canceled",OR($M58="Yes",$G58="Blocked",$G58="Waiting on Others")),COUNT($S$5:S57)+1,"")</x:f>
      </x:c>
    </x:row>
    <x:row r="59">
      <x:c r="A59" s="30"/>
      <x:c r="B59" s="30"/>
      <x:c r="C59" s="30"/>
      <x:c r="D59" s="30"/>
      <x:c r="E59" s="30"/>
      <x:c r="F59" s="30"/>
      <x:c r="G59" s="30"/>
      <x:c r="H59" s="31"/>
      <x:c r="I59" s="32"/>
      <x:c r="J59" s="33"/>
      <x:c r="K59" s="30"/>
      <x:c r="L59" s="30"/>
      <x:c r="M59" s="30"/>
      <x:c r="N59" s="30"/>
      <x:c r="O59" s="31"/>
      <x:c r="P59" s="30"/>
      <x:c r="Q59" s="30"/>
      <x:c r="R59" s="34" t="str">
        <x:f>IF(AND($B59&lt;&gt;"",$G59&lt;&gt;"Done",$G59&lt;&gt;"Canceled",OR($L59="Yes",$H59&lt;=TODAY()+1,$F59="P0 Critical",$F59="P1 High",$G59="Blocked",$G59="Waiting on Others")),COUNT($R$5:R58)+1,"")</x:f>
      </x:c>
      <x:c r="S59" s="34" t="str">
        <x:f>IF(AND($B59&lt;&gt;"",$G59&lt;&gt;"Done",$G59&lt;&gt;"Canceled",OR($M59="Yes",$G59="Blocked",$G59="Waiting on Others")),COUNT($S$5:S58)+1,"")</x:f>
      </x:c>
    </x:row>
    <x:row r="60">
      <x:c r="A60" s="30"/>
      <x:c r="B60" s="30"/>
      <x:c r="C60" s="30"/>
      <x:c r="D60" s="30"/>
      <x:c r="E60" s="30"/>
      <x:c r="F60" s="30"/>
      <x:c r="G60" s="30"/>
      <x:c r="H60" s="31"/>
      <x:c r="I60" s="32"/>
      <x:c r="J60" s="33"/>
      <x:c r="K60" s="30"/>
      <x:c r="L60" s="30"/>
      <x:c r="M60" s="30"/>
      <x:c r="N60" s="30"/>
      <x:c r="O60" s="31"/>
      <x:c r="P60" s="30"/>
      <x:c r="Q60" s="30"/>
      <x:c r="R60" s="34" t="str">
        <x:f>IF(AND($B60&lt;&gt;"",$G60&lt;&gt;"Done",$G60&lt;&gt;"Canceled",OR($L60="Yes",$H60&lt;=TODAY()+1,$F60="P0 Critical",$F60="P1 High",$G60="Blocked",$G60="Waiting on Others")),COUNT($R$5:R59)+1,"")</x:f>
      </x:c>
      <x:c r="S60" s="34" t="str">
        <x:f>IF(AND($B60&lt;&gt;"",$G60&lt;&gt;"Done",$G60&lt;&gt;"Canceled",OR($M60="Yes",$G60="Blocked",$G60="Waiting on Others")),COUNT($S$5:S59)+1,"")</x:f>
      </x:c>
    </x:row>
    <x:row r="61">
      <x:c r="A61" s="30"/>
      <x:c r="B61" s="30"/>
      <x:c r="C61" s="30"/>
      <x:c r="D61" s="30"/>
      <x:c r="E61" s="30"/>
      <x:c r="F61" s="30"/>
      <x:c r="G61" s="30"/>
      <x:c r="H61" s="31"/>
      <x:c r="I61" s="32"/>
      <x:c r="J61" s="33"/>
      <x:c r="K61" s="30"/>
      <x:c r="L61" s="30"/>
      <x:c r="M61" s="30"/>
      <x:c r="N61" s="30"/>
      <x:c r="O61" s="31"/>
      <x:c r="P61" s="30"/>
      <x:c r="Q61" s="30"/>
      <x:c r="R61" s="34" t="str">
        <x:f>IF(AND($B61&lt;&gt;"",$G61&lt;&gt;"Done",$G61&lt;&gt;"Canceled",OR($L61="Yes",$H61&lt;=TODAY()+1,$F61="P0 Critical",$F61="P1 High",$G61="Blocked",$G61="Waiting on Others")),COUNT($R$5:R60)+1,"")</x:f>
      </x:c>
      <x:c r="S61" s="34" t="str">
        <x:f>IF(AND($B61&lt;&gt;"",$G61&lt;&gt;"Done",$G61&lt;&gt;"Canceled",OR($M61="Yes",$G61="Blocked",$G61="Waiting on Others")),COUNT($S$5:S60)+1,"")</x:f>
      </x:c>
    </x:row>
    <x:row r="62">
      <x:c r="A62" s="30"/>
      <x:c r="B62" s="30"/>
      <x:c r="C62" s="30"/>
      <x:c r="D62" s="30"/>
      <x:c r="E62" s="30"/>
      <x:c r="F62" s="30"/>
      <x:c r="G62" s="30"/>
      <x:c r="H62" s="31"/>
      <x:c r="I62" s="32"/>
      <x:c r="J62" s="33"/>
      <x:c r="K62" s="30"/>
      <x:c r="L62" s="30"/>
      <x:c r="M62" s="30"/>
      <x:c r="N62" s="30"/>
      <x:c r="O62" s="31"/>
      <x:c r="P62" s="30"/>
      <x:c r="Q62" s="30"/>
      <x:c r="R62" s="34" t="str">
        <x:f>IF(AND($B62&lt;&gt;"",$G62&lt;&gt;"Done",$G62&lt;&gt;"Canceled",OR($L62="Yes",$H62&lt;=TODAY()+1,$F62="P0 Critical",$F62="P1 High",$G62="Blocked",$G62="Waiting on Others")),COUNT($R$5:R61)+1,"")</x:f>
      </x:c>
      <x:c r="S62" s="34" t="str">
        <x:f>IF(AND($B62&lt;&gt;"",$G62&lt;&gt;"Done",$G62&lt;&gt;"Canceled",OR($M62="Yes",$G62="Blocked",$G62="Waiting on Others")),COUNT($S$5:S61)+1,"")</x:f>
      </x:c>
    </x:row>
    <x:row r="63">
      <x:c r="A63" s="30"/>
      <x:c r="B63" s="30"/>
      <x:c r="C63" s="30"/>
      <x:c r="D63" s="30"/>
      <x:c r="E63" s="30"/>
      <x:c r="F63" s="30"/>
      <x:c r="G63" s="30"/>
      <x:c r="H63" s="31"/>
      <x:c r="I63" s="32"/>
      <x:c r="J63" s="33"/>
      <x:c r="K63" s="30"/>
      <x:c r="L63" s="30"/>
      <x:c r="M63" s="30"/>
      <x:c r="N63" s="30"/>
      <x:c r="O63" s="31"/>
      <x:c r="P63" s="30"/>
      <x:c r="Q63" s="30"/>
      <x:c r="R63" s="34" t="str">
        <x:f>IF(AND($B63&lt;&gt;"",$G63&lt;&gt;"Done",$G63&lt;&gt;"Canceled",OR($L63="Yes",$H63&lt;=TODAY()+1,$F63="P0 Critical",$F63="P1 High",$G63="Blocked",$G63="Waiting on Others")),COUNT($R$5:R62)+1,"")</x:f>
      </x:c>
      <x:c r="S63" s="34" t="str">
        <x:f>IF(AND($B63&lt;&gt;"",$G63&lt;&gt;"Done",$G63&lt;&gt;"Canceled",OR($M63="Yes",$G63="Blocked",$G63="Waiting on Others")),COUNT($S$5:S62)+1,"")</x:f>
      </x:c>
    </x:row>
    <x:row r="64">
      <x:c r="A64" s="30"/>
      <x:c r="B64" s="30"/>
      <x:c r="C64" s="30"/>
      <x:c r="D64" s="30"/>
      <x:c r="E64" s="30"/>
      <x:c r="F64" s="30"/>
      <x:c r="G64" s="30"/>
      <x:c r="H64" s="31"/>
      <x:c r="I64" s="32"/>
      <x:c r="J64" s="33"/>
      <x:c r="K64" s="30"/>
      <x:c r="L64" s="30"/>
      <x:c r="M64" s="30"/>
      <x:c r="N64" s="30"/>
      <x:c r="O64" s="31"/>
      <x:c r="P64" s="30"/>
      <x:c r="Q64" s="30"/>
      <x:c r="R64" s="34" t="str">
        <x:f>IF(AND($B64&lt;&gt;"",$G64&lt;&gt;"Done",$G64&lt;&gt;"Canceled",OR($L64="Yes",$H64&lt;=TODAY()+1,$F64="P0 Critical",$F64="P1 High",$G64="Blocked",$G64="Waiting on Others")),COUNT($R$5:R63)+1,"")</x:f>
      </x:c>
      <x:c r="S64" s="34" t="str">
        <x:f>IF(AND($B64&lt;&gt;"",$G64&lt;&gt;"Done",$G64&lt;&gt;"Canceled",OR($M64="Yes",$G64="Blocked",$G64="Waiting on Others")),COUNT($S$5:S63)+1,"")</x:f>
      </x:c>
    </x:row>
    <x:row r="65">
      <x:c r="A65" s="30"/>
      <x:c r="B65" s="30"/>
      <x:c r="C65" s="30"/>
      <x:c r="D65" s="30"/>
      <x:c r="E65" s="30"/>
      <x:c r="F65" s="30"/>
      <x:c r="G65" s="30"/>
      <x:c r="H65" s="31"/>
      <x:c r="I65" s="32"/>
      <x:c r="J65" s="33"/>
      <x:c r="K65" s="30"/>
      <x:c r="L65" s="30"/>
      <x:c r="M65" s="30"/>
      <x:c r="N65" s="30"/>
      <x:c r="O65" s="31"/>
      <x:c r="P65" s="30"/>
      <x:c r="Q65" s="30"/>
      <x:c r="R65" s="34" t="str">
        <x:f>IF(AND($B65&lt;&gt;"",$G65&lt;&gt;"Done",$G65&lt;&gt;"Canceled",OR($L65="Yes",$H65&lt;=TODAY()+1,$F65="P0 Critical",$F65="P1 High",$G65="Blocked",$G65="Waiting on Others")),COUNT($R$5:R64)+1,"")</x:f>
      </x:c>
      <x:c r="S65" s="34" t="str">
        <x:f>IF(AND($B65&lt;&gt;"",$G65&lt;&gt;"Done",$G65&lt;&gt;"Canceled",OR($M65="Yes",$G65="Blocked",$G65="Waiting on Others")),COUNT($S$5:S64)+1,"")</x:f>
      </x:c>
    </x:row>
    <x:row r="66">
      <x:c r="A66" s="30"/>
      <x:c r="B66" s="30"/>
      <x:c r="C66" s="30"/>
      <x:c r="D66" s="30"/>
      <x:c r="E66" s="30"/>
      <x:c r="F66" s="30"/>
      <x:c r="G66" s="30"/>
      <x:c r="H66" s="31"/>
      <x:c r="I66" s="32"/>
      <x:c r="J66" s="33"/>
      <x:c r="K66" s="30"/>
      <x:c r="L66" s="30"/>
      <x:c r="M66" s="30"/>
      <x:c r="N66" s="30"/>
      <x:c r="O66" s="31"/>
      <x:c r="P66" s="30"/>
      <x:c r="Q66" s="30"/>
      <x:c r="R66" s="34" t="str">
        <x:f>IF(AND($B66&lt;&gt;"",$G66&lt;&gt;"Done",$G66&lt;&gt;"Canceled",OR($L66="Yes",$H66&lt;=TODAY()+1,$F66="P0 Critical",$F66="P1 High",$G66="Blocked",$G66="Waiting on Others")),COUNT($R$5:R65)+1,"")</x:f>
      </x:c>
      <x:c r="S66" s="34" t="str">
        <x:f>IF(AND($B66&lt;&gt;"",$G66&lt;&gt;"Done",$G66&lt;&gt;"Canceled",OR($M66="Yes",$G66="Blocked",$G66="Waiting on Others")),COUNT($S$5:S65)+1,"")</x:f>
      </x:c>
    </x:row>
    <x:row r="67">
      <x:c r="A67" s="30"/>
      <x:c r="B67" s="30"/>
      <x:c r="C67" s="30"/>
      <x:c r="D67" s="30"/>
      <x:c r="E67" s="30"/>
      <x:c r="F67" s="30"/>
      <x:c r="G67" s="30"/>
      <x:c r="H67" s="31"/>
      <x:c r="I67" s="32"/>
      <x:c r="J67" s="33"/>
      <x:c r="K67" s="30"/>
      <x:c r="L67" s="30"/>
      <x:c r="M67" s="30"/>
      <x:c r="N67" s="30"/>
      <x:c r="O67" s="31"/>
      <x:c r="P67" s="30"/>
      <x:c r="Q67" s="30"/>
      <x:c r="R67" s="34" t="str">
        <x:f>IF(AND($B67&lt;&gt;"",$G67&lt;&gt;"Done",$G67&lt;&gt;"Canceled",OR($L67="Yes",$H67&lt;=TODAY()+1,$F67="P0 Critical",$F67="P1 High",$G67="Blocked",$G67="Waiting on Others")),COUNT($R$5:R66)+1,"")</x:f>
      </x:c>
      <x:c r="S67" s="34" t="str">
        <x:f>IF(AND($B67&lt;&gt;"",$G67&lt;&gt;"Done",$G67&lt;&gt;"Canceled",OR($M67="Yes",$G67="Blocked",$G67="Waiting on Others")),COUNT($S$5:S66)+1,"")</x:f>
      </x:c>
    </x:row>
    <x:row r="68">
      <x:c r="A68" s="30"/>
      <x:c r="B68" s="30"/>
      <x:c r="C68" s="30"/>
      <x:c r="D68" s="30"/>
      <x:c r="E68" s="30"/>
      <x:c r="F68" s="30"/>
      <x:c r="G68" s="30"/>
      <x:c r="H68" s="31"/>
      <x:c r="I68" s="32"/>
      <x:c r="J68" s="33"/>
      <x:c r="K68" s="30"/>
      <x:c r="L68" s="30"/>
      <x:c r="M68" s="30"/>
      <x:c r="N68" s="30"/>
      <x:c r="O68" s="31"/>
      <x:c r="P68" s="30"/>
      <x:c r="Q68" s="30"/>
      <x:c r="R68" s="34" t="str">
        <x:f>IF(AND($B68&lt;&gt;"",$G68&lt;&gt;"Done",$G68&lt;&gt;"Canceled",OR($L68="Yes",$H68&lt;=TODAY()+1,$F68="P0 Critical",$F68="P1 High",$G68="Blocked",$G68="Waiting on Others")),COUNT($R$5:R67)+1,"")</x:f>
      </x:c>
      <x:c r="S68" s="34" t="str">
        <x:f>IF(AND($B68&lt;&gt;"",$G68&lt;&gt;"Done",$G68&lt;&gt;"Canceled",OR($M68="Yes",$G68="Blocked",$G68="Waiting on Others")),COUNT($S$5:S67)+1,"")</x:f>
      </x:c>
    </x:row>
    <x:row r="69">
      <x:c r="A69" s="30"/>
      <x:c r="B69" s="30"/>
      <x:c r="C69" s="30"/>
      <x:c r="D69" s="30"/>
      <x:c r="E69" s="30"/>
      <x:c r="F69" s="30"/>
      <x:c r="G69" s="30"/>
      <x:c r="H69" s="31"/>
      <x:c r="I69" s="32"/>
      <x:c r="J69" s="33"/>
      <x:c r="K69" s="30"/>
      <x:c r="L69" s="30"/>
      <x:c r="M69" s="30"/>
      <x:c r="N69" s="30"/>
      <x:c r="O69" s="31"/>
      <x:c r="P69" s="30"/>
      <x:c r="Q69" s="30"/>
      <x:c r="R69" s="34" t="str">
        <x:f>IF(AND($B69&lt;&gt;"",$G69&lt;&gt;"Done",$G69&lt;&gt;"Canceled",OR($L69="Yes",$H69&lt;=TODAY()+1,$F69="P0 Critical",$F69="P1 High",$G69="Blocked",$G69="Waiting on Others")),COUNT($R$5:R68)+1,"")</x:f>
      </x:c>
      <x:c r="S69" s="34" t="str">
        <x:f>IF(AND($B69&lt;&gt;"",$G69&lt;&gt;"Done",$G69&lt;&gt;"Canceled",OR($M69="Yes",$G69="Blocked",$G69="Waiting on Others")),COUNT($S$5:S68)+1,"")</x:f>
      </x:c>
    </x:row>
    <x:row r="70">
      <x:c r="A70" s="30"/>
      <x:c r="B70" s="30"/>
      <x:c r="C70" s="30"/>
      <x:c r="D70" s="30"/>
      <x:c r="E70" s="30"/>
      <x:c r="F70" s="30"/>
      <x:c r="G70" s="30"/>
      <x:c r="H70" s="31"/>
      <x:c r="I70" s="32"/>
      <x:c r="J70" s="33"/>
      <x:c r="K70" s="30"/>
      <x:c r="L70" s="30"/>
      <x:c r="M70" s="30"/>
      <x:c r="N70" s="30"/>
      <x:c r="O70" s="31"/>
      <x:c r="P70" s="30"/>
      <x:c r="Q70" s="30"/>
      <x:c r="R70" s="34" t="str">
        <x:f>IF(AND($B70&lt;&gt;"",$G70&lt;&gt;"Done",$G70&lt;&gt;"Canceled",OR($L70="Yes",$H70&lt;=TODAY()+1,$F70="P0 Critical",$F70="P1 High",$G70="Blocked",$G70="Waiting on Others")),COUNT($R$5:R69)+1,"")</x:f>
      </x:c>
      <x:c r="S70" s="34" t="str">
        <x:f>IF(AND($B70&lt;&gt;"",$G70&lt;&gt;"Done",$G70&lt;&gt;"Canceled",OR($M70="Yes",$G70="Blocked",$G70="Waiting on Others")),COUNT($S$5:S69)+1,"")</x:f>
      </x:c>
    </x:row>
    <x:row r="71">
      <x:c r="A71" s="30"/>
      <x:c r="B71" s="30"/>
      <x:c r="C71" s="30"/>
      <x:c r="D71" s="30"/>
      <x:c r="E71" s="30"/>
      <x:c r="F71" s="30"/>
      <x:c r="G71" s="30"/>
      <x:c r="H71" s="31"/>
      <x:c r="I71" s="32"/>
      <x:c r="J71" s="33"/>
      <x:c r="K71" s="30"/>
      <x:c r="L71" s="30"/>
      <x:c r="M71" s="30"/>
      <x:c r="N71" s="30"/>
      <x:c r="O71" s="31"/>
      <x:c r="P71" s="30"/>
      <x:c r="Q71" s="30"/>
      <x:c r="R71" s="34" t="str">
        <x:f>IF(AND($B71&lt;&gt;"",$G71&lt;&gt;"Done",$G71&lt;&gt;"Canceled",OR($L71="Yes",$H71&lt;=TODAY()+1,$F71="P0 Critical",$F71="P1 High",$G71="Blocked",$G71="Waiting on Others")),COUNT($R$5:R70)+1,"")</x:f>
      </x:c>
      <x:c r="S71" s="34" t="str">
        <x:f>IF(AND($B71&lt;&gt;"",$G71&lt;&gt;"Done",$G71&lt;&gt;"Canceled",OR($M71="Yes",$G71="Blocked",$G71="Waiting on Others")),COUNT($S$5:S70)+1,"")</x:f>
      </x:c>
    </x:row>
    <x:row r="72">
      <x:c r="A72" s="30"/>
      <x:c r="B72" s="30"/>
      <x:c r="C72" s="30"/>
      <x:c r="D72" s="30"/>
      <x:c r="E72" s="30"/>
      <x:c r="F72" s="30"/>
      <x:c r="G72" s="30"/>
      <x:c r="H72" s="31"/>
      <x:c r="I72" s="32"/>
      <x:c r="J72" s="33"/>
      <x:c r="K72" s="30"/>
      <x:c r="L72" s="30"/>
      <x:c r="M72" s="30"/>
      <x:c r="N72" s="30"/>
      <x:c r="O72" s="31"/>
      <x:c r="P72" s="30"/>
      <x:c r="Q72" s="30"/>
      <x:c r="R72" s="34" t="str">
        <x:f>IF(AND($B72&lt;&gt;"",$G72&lt;&gt;"Done",$G72&lt;&gt;"Canceled",OR($L72="Yes",$H72&lt;=TODAY()+1,$F72="P0 Critical",$F72="P1 High",$G72="Blocked",$G72="Waiting on Others")),COUNT($R$5:R71)+1,"")</x:f>
      </x:c>
      <x:c r="S72" s="34" t="str">
        <x:f>IF(AND($B72&lt;&gt;"",$G72&lt;&gt;"Done",$G72&lt;&gt;"Canceled",OR($M72="Yes",$G72="Blocked",$G72="Waiting on Others")),COUNT($S$5:S71)+1,"")</x:f>
      </x:c>
    </x:row>
    <x:row r="73">
      <x:c r="A73" s="30"/>
      <x:c r="B73" s="30"/>
      <x:c r="C73" s="30"/>
      <x:c r="D73" s="30"/>
      <x:c r="E73" s="30"/>
      <x:c r="F73" s="30"/>
      <x:c r="G73" s="30"/>
      <x:c r="H73" s="31"/>
      <x:c r="I73" s="32"/>
      <x:c r="J73" s="33"/>
      <x:c r="K73" s="30"/>
      <x:c r="L73" s="30"/>
      <x:c r="M73" s="30"/>
      <x:c r="N73" s="30"/>
      <x:c r="O73" s="31"/>
      <x:c r="P73" s="30"/>
      <x:c r="Q73" s="30"/>
      <x:c r="R73" s="34" t="str">
        <x:f>IF(AND($B73&lt;&gt;"",$G73&lt;&gt;"Done",$G73&lt;&gt;"Canceled",OR($L73="Yes",$H73&lt;=TODAY()+1,$F73="P0 Critical",$F73="P1 High",$G73="Blocked",$G73="Waiting on Others")),COUNT($R$5:R72)+1,"")</x:f>
      </x:c>
      <x:c r="S73" s="34" t="str">
        <x:f>IF(AND($B73&lt;&gt;"",$G73&lt;&gt;"Done",$G73&lt;&gt;"Canceled",OR($M73="Yes",$G73="Blocked",$G73="Waiting on Others")),COUNT($S$5:S72)+1,"")</x:f>
      </x:c>
    </x:row>
    <x:row r="74">
      <x:c r="A74" s="30"/>
      <x:c r="B74" s="30"/>
      <x:c r="C74" s="30"/>
      <x:c r="D74" s="30"/>
      <x:c r="E74" s="30"/>
      <x:c r="F74" s="30"/>
      <x:c r="G74" s="30"/>
      <x:c r="H74" s="31"/>
      <x:c r="I74" s="32"/>
      <x:c r="J74" s="33"/>
      <x:c r="K74" s="30"/>
      <x:c r="L74" s="30"/>
      <x:c r="M74" s="30"/>
      <x:c r="N74" s="30"/>
      <x:c r="O74" s="31"/>
      <x:c r="P74" s="30"/>
      <x:c r="Q74" s="30"/>
      <x:c r="R74" s="34" t="str">
        <x:f>IF(AND($B74&lt;&gt;"",$G74&lt;&gt;"Done",$G74&lt;&gt;"Canceled",OR($L74="Yes",$H74&lt;=TODAY()+1,$F74="P0 Critical",$F74="P1 High",$G74="Blocked",$G74="Waiting on Others")),COUNT($R$5:R73)+1,"")</x:f>
      </x:c>
      <x:c r="S74" s="34" t="str">
        <x:f>IF(AND($B74&lt;&gt;"",$G74&lt;&gt;"Done",$G74&lt;&gt;"Canceled",OR($M74="Yes",$G74="Blocked",$G74="Waiting on Others")),COUNT($S$5:S73)+1,"")</x:f>
      </x:c>
    </x:row>
    <x:row r="75">
      <x:c r="A75" s="30"/>
      <x:c r="B75" s="30"/>
      <x:c r="C75" s="30"/>
      <x:c r="D75" s="30"/>
      <x:c r="E75" s="30"/>
      <x:c r="F75" s="30"/>
      <x:c r="G75" s="30"/>
      <x:c r="H75" s="31"/>
      <x:c r="I75" s="32"/>
      <x:c r="J75" s="33"/>
      <x:c r="K75" s="30"/>
      <x:c r="L75" s="30"/>
      <x:c r="M75" s="30"/>
      <x:c r="N75" s="30"/>
      <x:c r="O75" s="31"/>
      <x:c r="P75" s="30"/>
      <x:c r="Q75" s="30"/>
      <x:c r="R75" s="34" t="str">
        <x:f>IF(AND($B75&lt;&gt;"",$G75&lt;&gt;"Done",$G75&lt;&gt;"Canceled",OR($L75="Yes",$H75&lt;=TODAY()+1,$F75="P0 Critical",$F75="P1 High",$G75="Blocked",$G75="Waiting on Others")),COUNT($R$5:R74)+1,"")</x:f>
      </x:c>
      <x:c r="S75" s="34" t="str">
        <x:f>IF(AND($B75&lt;&gt;"",$G75&lt;&gt;"Done",$G75&lt;&gt;"Canceled",OR($M75="Yes",$G75="Blocked",$G75="Waiting on Others")),COUNT($S$5:S74)+1,"")</x:f>
      </x:c>
    </x:row>
    <x:row r="76">
      <x:c r="A76" s="30"/>
      <x:c r="B76" s="30"/>
      <x:c r="C76" s="30"/>
      <x:c r="D76" s="30"/>
      <x:c r="E76" s="30"/>
      <x:c r="F76" s="30"/>
      <x:c r="G76" s="30"/>
      <x:c r="H76" s="31"/>
      <x:c r="I76" s="32"/>
      <x:c r="J76" s="33"/>
      <x:c r="K76" s="30"/>
      <x:c r="L76" s="30"/>
      <x:c r="M76" s="30"/>
      <x:c r="N76" s="30"/>
      <x:c r="O76" s="31"/>
      <x:c r="P76" s="30"/>
      <x:c r="Q76" s="30"/>
      <x:c r="R76" s="34" t="str">
        <x:f>IF(AND($B76&lt;&gt;"",$G76&lt;&gt;"Done",$G76&lt;&gt;"Canceled",OR($L76="Yes",$H76&lt;=TODAY()+1,$F76="P0 Critical",$F76="P1 High",$G76="Blocked",$G76="Waiting on Others")),COUNT($R$5:R75)+1,"")</x:f>
      </x:c>
      <x:c r="S76" s="34" t="str">
        <x:f>IF(AND($B76&lt;&gt;"",$G76&lt;&gt;"Done",$G76&lt;&gt;"Canceled",OR($M76="Yes",$G76="Blocked",$G76="Waiting on Others")),COUNT($S$5:S75)+1,"")</x:f>
      </x:c>
    </x:row>
    <x:row r="77">
      <x:c r="A77" s="30"/>
      <x:c r="B77" s="30"/>
      <x:c r="C77" s="30"/>
      <x:c r="D77" s="30"/>
      <x:c r="E77" s="30"/>
      <x:c r="F77" s="30"/>
      <x:c r="G77" s="30"/>
      <x:c r="H77" s="31"/>
      <x:c r="I77" s="32"/>
      <x:c r="J77" s="33"/>
      <x:c r="K77" s="30"/>
      <x:c r="L77" s="30"/>
      <x:c r="M77" s="30"/>
      <x:c r="N77" s="30"/>
      <x:c r="O77" s="31"/>
      <x:c r="P77" s="30"/>
      <x:c r="Q77" s="30"/>
      <x:c r="R77" s="34" t="str">
        <x:f>IF(AND($B77&lt;&gt;"",$G77&lt;&gt;"Done",$G77&lt;&gt;"Canceled",OR($L77="Yes",$H77&lt;=TODAY()+1,$F77="P0 Critical",$F77="P1 High",$G77="Blocked",$G77="Waiting on Others")),COUNT($R$5:R76)+1,"")</x:f>
      </x:c>
      <x:c r="S77" s="34" t="str">
        <x:f>IF(AND($B77&lt;&gt;"",$G77&lt;&gt;"Done",$G77&lt;&gt;"Canceled",OR($M77="Yes",$G77="Blocked",$G77="Waiting on Others")),COUNT($S$5:S76)+1,"")</x:f>
      </x:c>
    </x:row>
    <x:row r="78">
      <x:c r="A78" s="30"/>
      <x:c r="B78" s="30"/>
      <x:c r="C78" s="30"/>
      <x:c r="D78" s="30"/>
      <x:c r="E78" s="30"/>
      <x:c r="F78" s="30"/>
      <x:c r="G78" s="30"/>
      <x:c r="H78" s="31"/>
      <x:c r="I78" s="32"/>
      <x:c r="J78" s="33"/>
      <x:c r="K78" s="30"/>
      <x:c r="L78" s="30"/>
      <x:c r="M78" s="30"/>
      <x:c r="N78" s="30"/>
      <x:c r="O78" s="31"/>
      <x:c r="P78" s="30"/>
      <x:c r="Q78" s="30"/>
      <x:c r="R78" s="34" t="str">
        <x:f>IF(AND($B78&lt;&gt;"",$G78&lt;&gt;"Done",$G78&lt;&gt;"Canceled",OR($L78="Yes",$H78&lt;=TODAY()+1,$F78="P0 Critical",$F78="P1 High",$G78="Blocked",$G78="Waiting on Others")),COUNT($R$5:R77)+1,"")</x:f>
      </x:c>
      <x:c r="S78" s="34" t="str">
        <x:f>IF(AND($B78&lt;&gt;"",$G78&lt;&gt;"Done",$G78&lt;&gt;"Canceled",OR($M78="Yes",$G78="Blocked",$G78="Waiting on Others")),COUNT($S$5:S77)+1,"")</x:f>
      </x:c>
    </x:row>
    <x:row r="79">
      <x:c r="A79" s="30"/>
      <x:c r="B79" s="30"/>
      <x:c r="C79" s="30"/>
      <x:c r="D79" s="30"/>
      <x:c r="E79" s="30"/>
      <x:c r="F79" s="30"/>
      <x:c r="G79" s="30"/>
      <x:c r="H79" s="31"/>
      <x:c r="I79" s="32"/>
      <x:c r="J79" s="33"/>
      <x:c r="K79" s="30"/>
      <x:c r="L79" s="30"/>
      <x:c r="M79" s="30"/>
      <x:c r="N79" s="30"/>
      <x:c r="O79" s="31"/>
      <x:c r="P79" s="30"/>
      <x:c r="Q79" s="30"/>
      <x:c r="R79" s="34" t="str">
        <x:f>IF(AND($B79&lt;&gt;"",$G79&lt;&gt;"Done",$G79&lt;&gt;"Canceled",OR($L79="Yes",$H79&lt;=TODAY()+1,$F79="P0 Critical",$F79="P1 High",$G79="Blocked",$G79="Waiting on Others")),COUNT($R$5:R78)+1,"")</x:f>
      </x:c>
      <x:c r="S79" s="34" t="str">
        <x:f>IF(AND($B79&lt;&gt;"",$G79&lt;&gt;"Done",$G79&lt;&gt;"Canceled",OR($M79="Yes",$G79="Blocked",$G79="Waiting on Others")),COUNT($S$5:S78)+1,"")</x:f>
      </x:c>
    </x:row>
    <x:row r="80">
      <x:c r="A80" s="30"/>
      <x:c r="B80" s="30"/>
      <x:c r="C80" s="30"/>
      <x:c r="D80" s="30"/>
      <x:c r="E80" s="30"/>
      <x:c r="F80" s="30"/>
      <x:c r="G80" s="30"/>
      <x:c r="H80" s="31"/>
      <x:c r="I80" s="32"/>
      <x:c r="J80" s="33"/>
      <x:c r="K80" s="30"/>
      <x:c r="L80" s="30"/>
      <x:c r="M80" s="30"/>
      <x:c r="N80" s="30"/>
      <x:c r="O80" s="31"/>
      <x:c r="P80" s="30"/>
      <x:c r="Q80" s="30"/>
      <x:c r="R80" s="34" t="str">
        <x:f>IF(AND($B80&lt;&gt;"",$G80&lt;&gt;"Done",$G80&lt;&gt;"Canceled",OR($L80="Yes",$H80&lt;=TODAY()+1,$F80="P0 Critical",$F80="P1 High",$G80="Blocked",$G80="Waiting on Others")),COUNT($R$5:R79)+1,"")</x:f>
      </x:c>
      <x:c r="S80" s="34" t="str">
        <x:f>IF(AND($B80&lt;&gt;"",$G80&lt;&gt;"Done",$G80&lt;&gt;"Canceled",OR($M80="Yes",$G80="Blocked",$G80="Waiting on Others")),COUNT($S$5:S79)+1,"")</x:f>
      </x:c>
    </x:row>
    <x:row r="81">
      <x:c r="A81" s="30"/>
      <x:c r="B81" s="30"/>
      <x:c r="C81" s="30"/>
      <x:c r="D81" s="30"/>
      <x:c r="E81" s="30"/>
      <x:c r="F81" s="30"/>
      <x:c r="G81" s="30"/>
      <x:c r="H81" s="31"/>
      <x:c r="I81" s="32"/>
      <x:c r="J81" s="33"/>
      <x:c r="K81" s="30"/>
      <x:c r="L81" s="30"/>
      <x:c r="M81" s="30"/>
      <x:c r="N81" s="30"/>
      <x:c r="O81" s="31"/>
      <x:c r="P81" s="30"/>
      <x:c r="Q81" s="30"/>
      <x:c r="R81" s="34" t="str">
        <x:f>IF(AND($B81&lt;&gt;"",$G81&lt;&gt;"Done",$G81&lt;&gt;"Canceled",OR($L81="Yes",$H81&lt;=TODAY()+1,$F81="P0 Critical",$F81="P1 High",$G81="Blocked",$G81="Waiting on Others")),COUNT($R$5:R80)+1,"")</x:f>
      </x:c>
      <x:c r="S81" s="34" t="str">
        <x:f>IF(AND($B81&lt;&gt;"",$G81&lt;&gt;"Done",$G81&lt;&gt;"Canceled",OR($M81="Yes",$G81="Blocked",$G81="Waiting on Others")),COUNT($S$5:S80)+1,"")</x:f>
      </x:c>
    </x:row>
    <x:row r="82">
      <x:c r="A82" s="30"/>
      <x:c r="B82" s="30"/>
      <x:c r="C82" s="30"/>
      <x:c r="D82" s="30"/>
      <x:c r="E82" s="30"/>
      <x:c r="F82" s="30"/>
      <x:c r="G82" s="30"/>
      <x:c r="H82" s="31"/>
      <x:c r="I82" s="32"/>
      <x:c r="J82" s="33"/>
      <x:c r="K82" s="30"/>
      <x:c r="L82" s="30"/>
      <x:c r="M82" s="30"/>
      <x:c r="N82" s="30"/>
      <x:c r="O82" s="31"/>
      <x:c r="P82" s="30"/>
      <x:c r="Q82" s="30"/>
      <x:c r="R82" s="34" t="str">
        <x:f>IF(AND($B82&lt;&gt;"",$G82&lt;&gt;"Done",$G82&lt;&gt;"Canceled",OR($L82="Yes",$H82&lt;=TODAY()+1,$F82="P0 Critical",$F82="P1 High",$G82="Blocked",$G82="Waiting on Others")),COUNT($R$5:R81)+1,"")</x:f>
      </x:c>
      <x:c r="S82" s="34" t="str">
        <x:f>IF(AND($B82&lt;&gt;"",$G82&lt;&gt;"Done",$G82&lt;&gt;"Canceled",OR($M82="Yes",$G82="Blocked",$G82="Waiting on Others")),COUNT($S$5:S81)+1,"")</x:f>
      </x:c>
    </x:row>
    <x:row r="83">
      <x:c r="A83" s="30"/>
      <x:c r="B83" s="30"/>
      <x:c r="C83" s="30"/>
      <x:c r="D83" s="30"/>
      <x:c r="E83" s="30"/>
      <x:c r="F83" s="30"/>
      <x:c r="G83" s="30"/>
      <x:c r="H83" s="31"/>
      <x:c r="I83" s="32"/>
      <x:c r="J83" s="33"/>
      <x:c r="K83" s="30"/>
      <x:c r="L83" s="30"/>
      <x:c r="M83" s="30"/>
      <x:c r="N83" s="30"/>
      <x:c r="O83" s="31"/>
      <x:c r="P83" s="30"/>
      <x:c r="Q83" s="30"/>
      <x:c r="R83" s="34" t="str">
        <x:f>IF(AND($B83&lt;&gt;"",$G83&lt;&gt;"Done",$G83&lt;&gt;"Canceled",OR($L83="Yes",$H83&lt;=TODAY()+1,$F83="P0 Critical",$F83="P1 High",$G83="Blocked",$G83="Waiting on Others")),COUNT($R$5:R82)+1,"")</x:f>
      </x:c>
      <x:c r="S83" s="34" t="str">
        <x:f>IF(AND($B83&lt;&gt;"",$G83&lt;&gt;"Done",$G83&lt;&gt;"Canceled",OR($M83="Yes",$G83="Blocked",$G83="Waiting on Others")),COUNT($S$5:S82)+1,"")</x:f>
      </x:c>
    </x:row>
    <x:row r="84">
      <x:c r="A84" s="30"/>
      <x:c r="B84" s="30"/>
      <x:c r="C84" s="30"/>
      <x:c r="D84" s="30"/>
      <x:c r="E84" s="30"/>
      <x:c r="F84" s="30"/>
      <x:c r="G84" s="30"/>
      <x:c r="H84" s="31"/>
      <x:c r="I84" s="32"/>
      <x:c r="J84" s="33"/>
      <x:c r="K84" s="30"/>
      <x:c r="L84" s="30"/>
      <x:c r="M84" s="30"/>
      <x:c r="N84" s="30"/>
      <x:c r="O84" s="31"/>
      <x:c r="P84" s="30"/>
      <x:c r="Q84" s="30"/>
      <x:c r="R84" s="34" t="str">
        <x:f>IF(AND($B84&lt;&gt;"",$G84&lt;&gt;"Done",$G84&lt;&gt;"Canceled",OR($L84="Yes",$H84&lt;=TODAY()+1,$F84="P0 Critical",$F84="P1 High",$G84="Blocked",$G84="Waiting on Others")),COUNT($R$5:R83)+1,"")</x:f>
      </x:c>
      <x:c r="S84" s="34" t="str">
        <x:f>IF(AND($B84&lt;&gt;"",$G84&lt;&gt;"Done",$G84&lt;&gt;"Canceled",OR($M84="Yes",$G84="Blocked",$G84="Waiting on Others")),COUNT($S$5:S83)+1,"")</x:f>
      </x:c>
    </x:row>
    <x:row r="85">
      <x:c r="A85" s="30"/>
      <x:c r="B85" s="30"/>
      <x:c r="C85" s="30"/>
      <x:c r="D85" s="30"/>
      <x:c r="E85" s="30"/>
      <x:c r="F85" s="30"/>
      <x:c r="G85" s="30"/>
      <x:c r="H85" s="31"/>
      <x:c r="I85" s="32"/>
      <x:c r="J85" s="33"/>
      <x:c r="K85" s="30"/>
      <x:c r="L85" s="30"/>
      <x:c r="M85" s="30"/>
      <x:c r="N85" s="30"/>
      <x:c r="O85" s="31"/>
      <x:c r="P85" s="30"/>
      <x:c r="Q85" s="30"/>
      <x:c r="R85" s="34" t="str">
        <x:f>IF(AND($B85&lt;&gt;"",$G85&lt;&gt;"Done",$G85&lt;&gt;"Canceled",OR($L85="Yes",$H85&lt;=TODAY()+1,$F85="P0 Critical",$F85="P1 High",$G85="Blocked",$G85="Waiting on Others")),COUNT($R$5:R84)+1,"")</x:f>
      </x:c>
      <x:c r="S85" s="34" t="str">
        <x:f>IF(AND($B85&lt;&gt;"",$G85&lt;&gt;"Done",$G85&lt;&gt;"Canceled",OR($M85="Yes",$G85="Blocked",$G85="Waiting on Others")),COUNT($S$5:S84)+1,"")</x:f>
      </x:c>
    </x:row>
    <x:row r="86">
      <x:c r="A86" s="30"/>
      <x:c r="B86" s="30"/>
      <x:c r="C86" s="30"/>
      <x:c r="D86" s="30"/>
      <x:c r="E86" s="30"/>
      <x:c r="F86" s="30"/>
      <x:c r="G86" s="30"/>
      <x:c r="H86" s="31"/>
      <x:c r="I86" s="32"/>
      <x:c r="J86" s="33"/>
      <x:c r="K86" s="30"/>
      <x:c r="L86" s="30"/>
      <x:c r="M86" s="30"/>
      <x:c r="N86" s="30"/>
      <x:c r="O86" s="31"/>
      <x:c r="P86" s="30"/>
      <x:c r="Q86" s="30"/>
      <x:c r="R86" s="34" t="str">
        <x:f>IF(AND($B86&lt;&gt;"",$G86&lt;&gt;"Done",$G86&lt;&gt;"Canceled",OR($L86="Yes",$H86&lt;=TODAY()+1,$F86="P0 Critical",$F86="P1 High",$G86="Blocked",$G86="Waiting on Others")),COUNT($R$5:R85)+1,"")</x:f>
      </x:c>
      <x:c r="S86" s="34" t="str">
        <x:f>IF(AND($B86&lt;&gt;"",$G86&lt;&gt;"Done",$G86&lt;&gt;"Canceled",OR($M86="Yes",$G86="Blocked",$G86="Waiting on Others")),COUNT($S$5:S85)+1,"")</x:f>
      </x:c>
    </x:row>
    <x:row r="87">
      <x:c r="A87" s="30"/>
      <x:c r="B87" s="30"/>
      <x:c r="C87" s="30"/>
      <x:c r="D87" s="30"/>
      <x:c r="E87" s="30"/>
      <x:c r="F87" s="30"/>
      <x:c r="G87" s="30"/>
      <x:c r="H87" s="31"/>
      <x:c r="I87" s="32"/>
      <x:c r="J87" s="33"/>
      <x:c r="K87" s="30"/>
      <x:c r="L87" s="30"/>
      <x:c r="M87" s="30"/>
      <x:c r="N87" s="30"/>
      <x:c r="O87" s="31"/>
      <x:c r="P87" s="30"/>
      <x:c r="Q87" s="30"/>
      <x:c r="R87" s="34" t="str">
        <x:f>IF(AND($B87&lt;&gt;"",$G87&lt;&gt;"Done",$G87&lt;&gt;"Canceled",OR($L87="Yes",$H87&lt;=TODAY()+1,$F87="P0 Critical",$F87="P1 High",$G87="Blocked",$G87="Waiting on Others")),COUNT($R$5:R86)+1,"")</x:f>
      </x:c>
      <x:c r="S87" s="34" t="str">
        <x:f>IF(AND($B87&lt;&gt;"",$G87&lt;&gt;"Done",$G87&lt;&gt;"Canceled",OR($M87="Yes",$G87="Blocked",$G87="Waiting on Others")),COUNT($S$5:S86)+1,"")</x:f>
      </x:c>
    </x:row>
    <x:row r="88">
      <x:c r="A88" s="30"/>
      <x:c r="B88" s="30"/>
      <x:c r="C88" s="30"/>
      <x:c r="D88" s="30"/>
      <x:c r="E88" s="30"/>
      <x:c r="F88" s="30"/>
      <x:c r="G88" s="30"/>
      <x:c r="H88" s="31"/>
      <x:c r="I88" s="32"/>
      <x:c r="J88" s="33"/>
      <x:c r="K88" s="30"/>
      <x:c r="L88" s="30"/>
      <x:c r="M88" s="30"/>
      <x:c r="N88" s="30"/>
      <x:c r="O88" s="31"/>
      <x:c r="P88" s="30"/>
      <x:c r="Q88" s="30"/>
      <x:c r="R88" s="34" t="str">
        <x:f>IF(AND($B88&lt;&gt;"",$G88&lt;&gt;"Done",$G88&lt;&gt;"Canceled",OR($L88="Yes",$H88&lt;=TODAY()+1,$F88="P0 Critical",$F88="P1 High",$G88="Blocked",$G88="Waiting on Others")),COUNT($R$5:R87)+1,"")</x:f>
      </x:c>
      <x:c r="S88" s="34" t="str">
        <x:f>IF(AND($B88&lt;&gt;"",$G88&lt;&gt;"Done",$G88&lt;&gt;"Canceled",OR($M88="Yes",$G88="Blocked",$G88="Waiting on Others")),COUNT($S$5:S87)+1,"")</x:f>
      </x:c>
    </x:row>
    <x:row r="89">
      <x:c r="A89" s="30"/>
      <x:c r="B89" s="30"/>
      <x:c r="C89" s="30"/>
      <x:c r="D89" s="30"/>
      <x:c r="E89" s="30"/>
      <x:c r="F89" s="30"/>
      <x:c r="G89" s="30"/>
      <x:c r="H89" s="31"/>
      <x:c r="I89" s="32"/>
      <x:c r="J89" s="33"/>
      <x:c r="K89" s="30"/>
      <x:c r="L89" s="30"/>
      <x:c r="M89" s="30"/>
      <x:c r="N89" s="30"/>
      <x:c r="O89" s="31"/>
      <x:c r="P89" s="30"/>
      <x:c r="Q89" s="30"/>
      <x:c r="R89" s="34" t="str">
        <x:f>IF(AND($B89&lt;&gt;"",$G89&lt;&gt;"Done",$G89&lt;&gt;"Canceled",OR($L89="Yes",$H89&lt;=TODAY()+1,$F89="P0 Critical",$F89="P1 High",$G89="Blocked",$G89="Waiting on Others")),COUNT($R$5:R88)+1,"")</x:f>
      </x:c>
      <x:c r="S89" s="34" t="str">
        <x:f>IF(AND($B89&lt;&gt;"",$G89&lt;&gt;"Done",$G89&lt;&gt;"Canceled",OR($M89="Yes",$G89="Blocked",$G89="Waiting on Others")),COUNT($S$5:S88)+1,"")</x:f>
      </x:c>
    </x:row>
    <x:row r="90">
      <x:c r="A90" s="30"/>
      <x:c r="B90" s="30"/>
      <x:c r="C90" s="30"/>
      <x:c r="D90" s="30"/>
      <x:c r="E90" s="30"/>
      <x:c r="F90" s="30"/>
      <x:c r="G90" s="30"/>
      <x:c r="H90" s="31"/>
      <x:c r="I90" s="32"/>
      <x:c r="J90" s="33"/>
      <x:c r="K90" s="30"/>
      <x:c r="L90" s="30"/>
      <x:c r="M90" s="30"/>
      <x:c r="N90" s="30"/>
      <x:c r="O90" s="31"/>
      <x:c r="P90" s="30"/>
      <x:c r="Q90" s="30"/>
      <x:c r="R90" s="34" t="str">
        <x:f>IF(AND($B90&lt;&gt;"",$G90&lt;&gt;"Done",$G90&lt;&gt;"Canceled",OR($L90="Yes",$H90&lt;=TODAY()+1,$F90="P0 Critical",$F90="P1 High",$G90="Blocked",$G90="Waiting on Others")),COUNT($R$5:R89)+1,"")</x:f>
      </x:c>
      <x:c r="S90" s="34" t="str">
        <x:f>IF(AND($B90&lt;&gt;"",$G90&lt;&gt;"Done",$G90&lt;&gt;"Canceled",OR($M90="Yes",$G90="Blocked",$G90="Waiting on Others")),COUNT($S$5:S89)+1,"")</x:f>
      </x:c>
    </x:row>
    <x:row r="91">
      <x:c r="A91" s="30"/>
      <x:c r="B91" s="30"/>
      <x:c r="C91" s="30"/>
      <x:c r="D91" s="30"/>
      <x:c r="E91" s="30"/>
      <x:c r="F91" s="30"/>
      <x:c r="G91" s="30"/>
      <x:c r="H91" s="31"/>
      <x:c r="I91" s="32"/>
      <x:c r="J91" s="33"/>
      <x:c r="K91" s="30"/>
      <x:c r="L91" s="30"/>
      <x:c r="M91" s="30"/>
      <x:c r="N91" s="30"/>
      <x:c r="O91" s="31"/>
      <x:c r="P91" s="30"/>
      <x:c r="Q91" s="30"/>
      <x:c r="R91" s="34" t="str">
        <x:f>IF(AND($B91&lt;&gt;"",$G91&lt;&gt;"Done",$G91&lt;&gt;"Canceled",OR($L91="Yes",$H91&lt;=TODAY()+1,$F91="P0 Critical",$F91="P1 High",$G91="Blocked",$G91="Waiting on Others")),COUNT($R$5:R90)+1,"")</x:f>
      </x:c>
      <x:c r="S91" s="34" t="str">
        <x:f>IF(AND($B91&lt;&gt;"",$G91&lt;&gt;"Done",$G91&lt;&gt;"Canceled",OR($M91="Yes",$G91="Blocked",$G91="Waiting on Others")),COUNT($S$5:S90)+1,"")</x:f>
      </x:c>
    </x:row>
    <x:row r="92">
      <x:c r="A92" s="30"/>
      <x:c r="B92" s="30"/>
      <x:c r="C92" s="30"/>
      <x:c r="D92" s="30"/>
      <x:c r="E92" s="30"/>
      <x:c r="F92" s="30"/>
      <x:c r="G92" s="30"/>
      <x:c r="H92" s="31"/>
      <x:c r="I92" s="32"/>
      <x:c r="J92" s="33"/>
      <x:c r="K92" s="30"/>
      <x:c r="L92" s="30"/>
      <x:c r="M92" s="30"/>
      <x:c r="N92" s="30"/>
      <x:c r="O92" s="31"/>
      <x:c r="P92" s="30"/>
      <x:c r="Q92" s="30"/>
      <x:c r="R92" s="34" t="str">
        <x:f>IF(AND($B92&lt;&gt;"",$G92&lt;&gt;"Done",$G92&lt;&gt;"Canceled",OR($L92="Yes",$H92&lt;=TODAY()+1,$F92="P0 Critical",$F92="P1 High",$G92="Blocked",$G92="Waiting on Others")),COUNT($R$5:R91)+1,"")</x:f>
      </x:c>
      <x:c r="S92" s="34" t="str">
        <x:f>IF(AND($B92&lt;&gt;"",$G92&lt;&gt;"Done",$G92&lt;&gt;"Canceled",OR($M92="Yes",$G92="Blocked",$G92="Waiting on Others")),COUNT($S$5:S91)+1,"")</x:f>
      </x:c>
    </x:row>
    <x:row r="93">
      <x:c r="A93" s="30"/>
      <x:c r="B93" s="30"/>
      <x:c r="C93" s="30"/>
      <x:c r="D93" s="30"/>
      <x:c r="E93" s="30"/>
      <x:c r="F93" s="30"/>
      <x:c r="G93" s="30"/>
      <x:c r="H93" s="31"/>
      <x:c r="I93" s="32"/>
      <x:c r="J93" s="33"/>
      <x:c r="K93" s="30"/>
      <x:c r="L93" s="30"/>
      <x:c r="M93" s="30"/>
      <x:c r="N93" s="30"/>
      <x:c r="O93" s="31"/>
      <x:c r="P93" s="30"/>
      <x:c r="Q93" s="30"/>
      <x:c r="R93" s="34" t="str">
        <x:f>IF(AND($B93&lt;&gt;"",$G93&lt;&gt;"Done",$G93&lt;&gt;"Canceled",OR($L93="Yes",$H93&lt;=TODAY()+1,$F93="P0 Critical",$F93="P1 High",$G93="Blocked",$G93="Waiting on Others")),COUNT($R$5:R92)+1,"")</x:f>
      </x:c>
      <x:c r="S93" s="34" t="str">
        <x:f>IF(AND($B93&lt;&gt;"",$G93&lt;&gt;"Done",$G93&lt;&gt;"Canceled",OR($M93="Yes",$G93="Blocked",$G93="Waiting on Others")),COUNT($S$5:S92)+1,"")</x:f>
      </x:c>
    </x:row>
    <x:row r="94">
      <x:c r="A94" s="30"/>
      <x:c r="B94" s="30"/>
      <x:c r="C94" s="30"/>
      <x:c r="D94" s="30"/>
      <x:c r="E94" s="30"/>
      <x:c r="F94" s="30"/>
      <x:c r="G94" s="30"/>
      <x:c r="H94" s="31"/>
      <x:c r="I94" s="32"/>
      <x:c r="J94" s="33"/>
      <x:c r="K94" s="30"/>
      <x:c r="L94" s="30"/>
      <x:c r="M94" s="30"/>
      <x:c r="N94" s="30"/>
      <x:c r="O94" s="31"/>
      <x:c r="P94" s="30"/>
      <x:c r="Q94" s="30"/>
      <x:c r="R94" s="34" t="str">
        <x:f>IF(AND($B94&lt;&gt;"",$G94&lt;&gt;"Done",$G94&lt;&gt;"Canceled",OR($L94="Yes",$H94&lt;=TODAY()+1,$F94="P0 Critical",$F94="P1 High",$G94="Blocked",$G94="Waiting on Others")),COUNT($R$5:R93)+1,"")</x:f>
      </x:c>
      <x:c r="S94" s="34" t="str">
        <x:f>IF(AND($B94&lt;&gt;"",$G94&lt;&gt;"Done",$G94&lt;&gt;"Canceled",OR($M94="Yes",$G94="Blocked",$G94="Waiting on Others")),COUNT($S$5:S93)+1,"")</x:f>
      </x:c>
    </x:row>
    <x:row r="95">
      <x:c r="A95" s="30"/>
      <x:c r="B95" s="30"/>
      <x:c r="C95" s="30"/>
      <x:c r="D95" s="30"/>
      <x:c r="E95" s="30"/>
      <x:c r="F95" s="30"/>
      <x:c r="G95" s="30"/>
      <x:c r="H95" s="31"/>
      <x:c r="I95" s="32"/>
      <x:c r="J95" s="33"/>
      <x:c r="K95" s="30"/>
      <x:c r="L95" s="30"/>
      <x:c r="M95" s="30"/>
      <x:c r="N95" s="30"/>
      <x:c r="O95" s="31"/>
      <x:c r="P95" s="30"/>
      <x:c r="Q95" s="30"/>
      <x:c r="R95" s="34" t="str">
        <x:f>IF(AND($B95&lt;&gt;"",$G95&lt;&gt;"Done",$G95&lt;&gt;"Canceled",OR($L95="Yes",$H95&lt;=TODAY()+1,$F95="P0 Critical",$F95="P1 High",$G95="Blocked",$G95="Waiting on Others")),COUNT($R$5:R94)+1,"")</x:f>
      </x:c>
      <x:c r="S95" s="34" t="str">
        <x:f>IF(AND($B95&lt;&gt;"",$G95&lt;&gt;"Done",$G95&lt;&gt;"Canceled",OR($M95="Yes",$G95="Blocked",$G95="Waiting on Others")),COUNT($S$5:S94)+1,"")</x:f>
      </x:c>
    </x:row>
    <x:row r="96">
      <x:c r="A96" s="30"/>
      <x:c r="B96" s="30"/>
      <x:c r="C96" s="30"/>
      <x:c r="D96" s="30"/>
      <x:c r="E96" s="30"/>
      <x:c r="F96" s="30"/>
      <x:c r="G96" s="30"/>
      <x:c r="H96" s="31"/>
      <x:c r="I96" s="32"/>
      <x:c r="J96" s="33"/>
      <x:c r="K96" s="30"/>
      <x:c r="L96" s="30"/>
      <x:c r="M96" s="30"/>
      <x:c r="N96" s="30"/>
      <x:c r="O96" s="31"/>
      <x:c r="P96" s="30"/>
      <x:c r="Q96" s="30"/>
      <x:c r="R96" s="34" t="str">
        <x:f>IF(AND($B96&lt;&gt;"",$G96&lt;&gt;"Done",$G96&lt;&gt;"Canceled",OR($L96="Yes",$H96&lt;=TODAY()+1,$F96="P0 Critical",$F96="P1 High",$G96="Blocked",$G96="Waiting on Others")),COUNT($R$5:R95)+1,"")</x:f>
      </x:c>
      <x:c r="S96" s="34" t="str">
        <x:f>IF(AND($B96&lt;&gt;"",$G96&lt;&gt;"Done",$G96&lt;&gt;"Canceled",OR($M96="Yes",$G96="Blocked",$G96="Waiting on Others")),COUNT($S$5:S95)+1,"")</x:f>
      </x:c>
    </x:row>
    <x:row r="97">
      <x:c r="A97" s="30"/>
      <x:c r="B97" s="30"/>
      <x:c r="C97" s="30"/>
      <x:c r="D97" s="30"/>
      <x:c r="E97" s="30"/>
      <x:c r="F97" s="30"/>
      <x:c r="G97" s="30"/>
      <x:c r="H97" s="31"/>
      <x:c r="I97" s="32"/>
      <x:c r="J97" s="33"/>
      <x:c r="K97" s="30"/>
      <x:c r="L97" s="30"/>
      <x:c r="M97" s="30"/>
      <x:c r="N97" s="30"/>
      <x:c r="O97" s="31"/>
      <x:c r="P97" s="30"/>
      <x:c r="Q97" s="30"/>
      <x:c r="R97" s="34" t="str">
        <x:f>IF(AND($B97&lt;&gt;"",$G97&lt;&gt;"Done",$G97&lt;&gt;"Canceled",OR($L97="Yes",$H97&lt;=TODAY()+1,$F97="P0 Critical",$F97="P1 High",$G97="Blocked",$G97="Waiting on Others")),COUNT($R$5:R96)+1,"")</x:f>
      </x:c>
      <x:c r="S97" s="34" t="str">
        <x:f>IF(AND($B97&lt;&gt;"",$G97&lt;&gt;"Done",$G97&lt;&gt;"Canceled",OR($M97="Yes",$G97="Blocked",$G97="Waiting on Others")),COUNT($S$5:S96)+1,"")</x:f>
      </x:c>
    </x:row>
    <x:row r="98">
      <x:c r="A98" s="30"/>
      <x:c r="B98" s="30"/>
      <x:c r="C98" s="30"/>
      <x:c r="D98" s="30"/>
      <x:c r="E98" s="30"/>
      <x:c r="F98" s="30"/>
      <x:c r="G98" s="30"/>
      <x:c r="H98" s="31"/>
      <x:c r="I98" s="32"/>
      <x:c r="J98" s="33"/>
      <x:c r="K98" s="30"/>
      <x:c r="L98" s="30"/>
      <x:c r="M98" s="30"/>
      <x:c r="N98" s="30"/>
      <x:c r="O98" s="31"/>
      <x:c r="P98" s="30"/>
      <x:c r="Q98" s="30"/>
      <x:c r="R98" s="34" t="str">
        <x:f>IF(AND($B98&lt;&gt;"",$G98&lt;&gt;"Done",$G98&lt;&gt;"Canceled",OR($L98="Yes",$H98&lt;=TODAY()+1,$F98="P0 Critical",$F98="P1 High",$G98="Blocked",$G98="Waiting on Others")),COUNT($R$5:R97)+1,"")</x:f>
      </x:c>
      <x:c r="S98" s="34" t="str">
        <x:f>IF(AND($B98&lt;&gt;"",$G98&lt;&gt;"Done",$G98&lt;&gt;"Canceled",OR($M98="Yes",$G98="Blocked",$G98="Waiting on Others")),COUNT($S$5:S97)+1,"")</x:f>
      </x:c>
    </x:row>
    <x:row r="99">
      <x:c r="A99" s="30"/>
      <x:c r="B99" s="30"/>
      <x:c r="C99" s="30"/>
      <x:c r="D99" s="30"/>
      <x:c r="E99" s="30"/>
      <x:c r="F99" s="30"/>
      <x:c r="G99" s="30"/>
      <x:c r="H99" s="31"/>
      <x:c r="I99" s="32"/>
      <x:c r="J99" s="33"/>
      <x:c r="K99" s="30"/>
      <x:c r="L99" s="30"/>
      <x:c r="M99" s="30"/>
      <x:c r="N99" s="30"/>
      <x:c r="O99" s="31"/>
      <x:c r="P99" s="30"/>
      <x:c r="Q99" s="30"/>
      <x:c r="R99" s="34" t="str">
        <x:f>IF(AND($B99&lt;&gt;"",$G99&lt;&gt;"Done",$G99&lt;&gt;"Canceled",OR($L99="Yes",$H99&lt;=TODAY()+1,$F99="P0 Critical",$F99="P1 High",$G99="Blocked",$G99="Waiting on Others")),COUNT($R$5:R98)+1,"")</x:f>
      </x:c>
      <x:c r="S99" s="34" t="str">
        <x:f>IF(AND($B99&lt;&gt;"",$G99&lt;&gt;"Done",$G99&lt;&gt;"Canceled",OR($M99="Yes",$G99="Blocked",$G99="Waiting on Others")),COUNT($S$5:S98)+1,"")</x:f>
      </x:c>
    </x:row>
    <x:row r="100">
      <x:c r="A100" s="30"/>
      <x:c r="B100" s="30"/>
      <x:c r="C100" s="30"/>
      <x:c r="D100" s="30"/>
      <x:c r="E100" s="30"/>
      <x:c r="F100" s="30"/>
      <x:c r="G100" s="30"/>
      <x:c r="H100" s="31"/>
      <x:c r="I100" s="32"/>
      <x:c r="J100" s="33"/>
      <x:c r="K100" s="30"/>
      <x:c r="L100" s="30"/>
      <x:c r="M100" s="30"/>
      <x:c r="N100" s="30"/>
      <x:c r="O100" s="31"/>
      <x:c r="P100" s="30"/>
      <x:c r="Q100" s="30"/>
      <x:c r="R100" s="34" t="str">
        <x:f>IF(AND($B100&lt;&gt;"",$G100&lt;&gt;"Done",$G100&lt;&gt;"Canceled",OR($L100="Yes",$H100&lt;=TODAY()+1,$F100="P0 Critical",$F100="P1 High",$G100="Blocked",$G100="Waiting on Others")),COUNT($R$5:R99)+1,"")</x:f>
      </x:c>
      <x:c r="S100" s="34" t="str">
        <x:f>IF(AND($B100&lt;&gt;"",$G100&lt;&gt;"Done",$G100&lt;&gt;"Canceled",OR($M100="Yes",$G100="Blocked",$G100="Waiting on Others")),COUNT($S$5:S99)+1,"")</x:f>
      </x:c>
    </x:row>
    <x:row r="101">
      <x:c r="A101" s="30"/>
      <x:c r="B101" s="30"/>
      <x:c r="C101" s="30"/>
      <x:c r="D101" s="30"/>
      <x:c r="E101" s="30"/>
      <x:c r="F101" s="30"/>
      <x:c r="G101" s="30"/>
      <x:c r="H101" s="31"/>
      <x:c r="I101" s="32"/>
      <x:c r="J101" s="33"/>
      <x:c r="K101" s="30"/>
      <x:c r="L101" s="30"/>
      <x:c r="M101" s="30"/>
      <x:c r="N101" s="30"/>
      <x:c r="O101" s="31"/>
      <x:c r="P101" s="30"/>
      <x:c r="Q101" s="30"/>
      <x:c r="R101" s="34" t="str">
        <x:f>IF(AND($B101&lt;&gt;"",$G101&lt;&gt;"Done",$G101&lt;&gt;"Canceled",OR($L101="Yes",$H101&lt;=TODAY()+1,$F101="P0 Critical",$F101="P1 High",$G101="Blocked",$G101="Waiting on Others")),COUNT($R$5:R100)+1,"")</x:f>
      </x:c>
      <x:c r="S101" s="34" t="str">
        <x:f>IF(AND($B101&lt;&gt;"",$G101&lt;&gt;"Done",$G101&lt;&gt;"Canceled",OR($M101="Yes",$G101="Blocked",$G101="Waiting on Others")),COUNT($S$5:S100)+1,"")</x:f>
      </x:c>
    </x:row>
    <x:row r="102">
      <x:c r="A102" s="30"/>
      <x:c r="B102" s="30"/>
      <x:c r="C102" s="30"/>
      <x:c r="D102" s="30"/>
      <x:c r="E102" s="30"/>
      <x:c r="F102" s="30"/>
      <x:c r="G102" s="30"/>
      <x:c r="H102" s="31"/>
      <x:c r="I102" s="32"/>
      <x:c r="J102" s="33"/>
      <x:c r="K102" s="30"/>
      <x:c r="L102" s="30"/>
      <x:c r="M102" s="30"/>
      <x:c r="N102" s="30"/>
      <x:c r="O102" s="31"/>
      <x:c r="P102" s="30"/>
      <x:c r="Q102" s="30"/>
      <x:c r="R102" s="34" t="str">
        <x:f>IF(AND($B102&lt;&gt;"",$G102&lt;&gt;"Done",$G102&lt;&gt;"Canceled",OR($L102="Yes",$H102&lt;=TODAY()+1,$F102="P0 Critical",$F102="P1 High",$G102="Blocked",$G102="Waiting on Others")),COUNT($R$5:R101)+1,"")</x:f>
      </x:c>
      <x:c r="S102" s="34" t="str">
        <x:f>IF(AND($B102&lt;&gt;"",$G102&lt;&gt;"Done",$G102&lt;&gt;"Canceled",OR($M102="Yes",$G102="Blocked",$G102="Waiting on Others")),COUNT($S$5:S101)+1,"")</x:f>
      </x:c>
    </x:row>
    <x:row r="103">
      <x:c r="A103" s="30"/>
      <x:c r="B103" s="30"/>
      <x:c r="C103" s="30"/>
      <x:c r="D103" s="30"/>
      <x:c r="E103" s="30"/>
      <x:c r="F103" s="30"/>
      <x:c r="G103" s="30"/>
      <x:c r="H103" s="31"/>
      <x:c r="I103" s="32"/>
      <x:c r="J103" s="33"/>
      <x:c r="K103" s="30"/>
      <x:c r="L103" s="30"/>
      <x:c r="M103" s="30"/>
      <x:c r="N103" s="30"/>
      <x:c r="O103" s="31"/>
      <x:c r="P103" s="30"/>
      <x:c r="Q103" s="30"/>
      <x:c r="R103" s="34" t="str">
        <x:f>IF(AND($B103&lt;&gt;"",$G103&lt;&gt;"Done",$G103&lt;&gt;"Canceled",OR($L103="Yes",$H103&lt;=TODAY()+1,$F103="P0 Critical",$F103="P1 High",$G103="Blocked",$G103="Waiting on Others")),COUNT($R$5:R102)+1,"")</x:f>
      </x:c>
      <x:c r="S103" s="34" t="str">
        <x:f>IF(AND($B103&lt;&gt;"",$G103&lt;&gt;"Done",$G103&lt;&gt;"Canceled",OR($M103="Yes",$G103="Blocked",$G103="Waiting on Others")),COUNT($S$5:S102)+1,"")</x:f>
      </x:c>
    </x:row>
    <x:row r="104">
      <x:c r="A104" s="30"/>
      <x:c r="B104" s="30"/>
      <x:c r="C104" s="30"/>
      <x:c r="D104" s="30"/>
      <x:c r="E104" s="30"/>
      <x:c r="F104" s="30"/>
      <x:c r="G104" s="30"/>
      <x:c r="H104" s="31"/>
      <x:c r="I104" s="32"/>
      <x:c r="J104" s="33"/>
      <x:c r="K104" s="30"/>
      <x:c r="L104" s="30"/>
      <x:c r="M104" s="30"/>
      <x:c r="N104" s="30"/>
      <x:c r="O104" s="31"/>
      <x:c r="P104" s="30"/>
      <x:c r="Q104" s="30"/>
      <x:c r="R104" s="34" t="str">
        <x:f>IF(AND($B104&lt;&gt;"",$G104&lt;&gt;"Done",$G104&lt;&gt;"Canceled",OR($L104="Yes",$H104&lt;=TODAY()+1,$F104="P0 Critical",$F104="P1 High",$G104="Blocked",$G104="Waiting on Others")),COUNT($R$5:R103)+1,"")</x:f>
      </x:c>
      <x:c r="S104" s="34" t="str">
        <x:f>IF(AND($B104&lt;&gt;"",$G104&lt;&gt;"Done",$G104&lt;&gt;"Canceled",OR($M104="Yes",$G104="Blocked",$G104="Waiting on Others")),COUNT($S$5:S103)+1,"")</x:f>
      </x:c>
    </x:row>
    <x:row r="105">
      <x:c r="A105" s="30"/>
      <x:c r="B105" s="30"/>
      <x:c r="C105" s="30"/>
      <x:c r="D105" s="30"/>
      <x:c r="E105" s="30"/>
      <x:c r="F105" s="30"/>
      <x:c r="G105" s="30"/>
      <x:c r="H105" s="31"/>
      <x:c r="I105" s="32"/>
      <x:c r="J105" s="33"/>
      <x:c r="K105" s="30"/>
      <x:c r="L105" s="30"/>
      <x:c r="M105" s="30"/>
      <x:c r="N105" s="30"/>
      <x:c r="O105" s="31"/>
      <x:c r="P105" s="30"/>
      <x:c r="Q105" s="30"/>
      <x:c r="R105" s="34" t="str">
        <x:f>IF(AND($B105&lt;&gt;"",$G105&lt;&gt;"Done",$G105&lt;&gt;"Canceled",OR($L105="Yes",$H105&lt;=TODAY()+1,$F105="P0 Critical",$F105="P1 High",$G105="Blocked",$G105="Waiting on Others")),COUNT($R$5:R104)+1,"")</x:f>
      </x:c>
      <x:c r="S105" s="34" t="str">
        <x:f>IF(AND($B105&lt;&gt;"",$G105&lt;&gt;"Done",$G105&lt;&gt;"Canceled",OR($M105="Yes",$G105="Blocked",$G105="Waiting on Others")),COUNT($S$5:S104)+1,"")</x:f>
      </x:c>
    </x:row>
    <x:row r="106">
      <x:c r="A106" s="30"/>
      <x:c r="B106" s="30"/>
      <x:c r="C106" s="30"/>
      <x:c r="D106" s="30"/>
      <x:c r="E106" s="30"/>
      <x:c r="F106" s="30"/>
      <x:c r="G106" s="30"/>
      <x:c r="H106" s="31"/>
      <x:c r="I106" s="32"/>
      <x:c r="J106" s="33"/>
      <x:c r="K106" s="30"/>
      <x:c r="L106" s="30"/>
      <x:c r="M106" s="30"/>
      <x:c r="N106" s="30"/>
      <x:c r="O106" s="31"/>
      <x:c r="P106" s="30"/>
      <x:c r="Q106" s="30"/>
      <x:c r="R106" s="34" t="str">
        <x:f>IF(AND($B106&lt;&gt;"",$G106&lt;&gt;"Done",$G106&lt;&gt;"Canceled",OR($L106="Yes",$H106&lt;=TODAY()+1,$F106="P0 Critical",$F106="P1 High",$G106="Blocked",$G106="Waiting on Others")),COUNT($R$5:R105)+1,"")</x:f>
      </x:c>
      <x:c r="S106" s="34" t="str">
        <x:f>IF(AND($B106&lt;&gt;"",$G106&lt;&gt;"Done",$G106&lt;&gt;"Canceled",OR($M106="Yes",$G106="Blocked",$G106="Waiting on Others")),COUNT($S$5:S105)+1,"")</x:f>
      </x:c>
    </x:row>
    <x:row r="107">
      <x:c r="A107" s="30"/>
      <x:c r="B107" s="30"/>
      <x:c r="C107" s="30"/>
      <x:c r="D107" s="30"/>
      <x:c r="E107" s="30"/>
      <x:c r="F107" s="30"/>
      <x:c r="G107" s="30"/>
      <x:c r="H107" s="31"/>
      <x:c r="I107" s="32"/>
      <x:c r="J107" s="33"/>
      <x:c r="K107" s="30"/>
      <x:c r="L107" s="30"/>
      <x:c r="M107" s="30"/>
      <x:c r="N107" s="30"/>
      <x:c r="O107" s="31"/>
      <x:c r="P107" s="30"/>
      <x:c r="Q107" s="30"/>
      <x:c r="R107" s="34" t="str">
        <x:f>IF(AND($B107&lt;&gt;"",$G107&lt;&gt;"Done",$G107&lt;&gt;"Canceled",OR($L107="Yes",$H107&lt;=TODAY()+1,$F107="P0 Critical",$F107="P1 High",$G107="Blocked",$G107="Waiting on Others")),COUNT($R$5:R106)+1,"")</x:f>
      </x:c>
      <x:c r="S107" s="34" t="str">
        <x:f>IF(AND($B107&lt;&gt;"",$G107&lt;&gt;"Done",$G107&lt;&gt;"Canceled",OR($M107="Yes",$G107="Blocked",$G107="Waiting on Others")),COUNT($S$5:S106)+1,"")</x:f>
      </x:c>
    </x:row>
    <x:row r="108">
      <x:c r="A108" s="30"/>
      <x:c r="B108" s="30"/>
      <x:c r="C108" s="30"/>
      <x:c r="D108" s="30"/>
      <x:c r="E108" s="30"/>
      <x:c r="F108" s="30"/>
      <x:c r="G108" s="30"/>
      <x:c r="H108" s="31"/>
      <x:c r="I108" s="32"/>
      <x:c r="J108" s="33"/>
      <x:c r="K108" s="30"/>
      <x:c r="L108" s="30"/>
      <x:c r="M108" s="30"/>
      <x:c r="N108" s="30"/>
      <x:c r="O108" s="31"/>
      <x:c r="P108" s="30"/>
      <x:c r="Q108" s="30"/>
      <x:c r="R108" s="34" t="str">
        <x:f>IF(AND($B108&lt;&gt;"",$G108&lt;&gt;"Done",$G108&lt;&gt;"Canceled",OR($L108="Yes",$H108&lt;=TODAY()+1,$F108="P0 Critical",$F108="P1 High",$G108="Blocked",$G108="Waiting on Others")),COUNT($R$5:R107)+1,"")</x:f>
      </x:c>
      <x:c r="S108" s="34" t="str">
        <x:f>IF(AND($B108&lt;&gt;"",$G108&lt;&gt;"Done",$G108&lt;&gt;"Canceled",OR($M108="Yes",$G108="Blocked",$G108="Waiting on Others")),COUNT($S$5:S107)+1,"")</x:f>
      </x:c>
    </x:row>
    <x:row r="109">
      <x:c r="A109" s="30"/>
      <x:c r="B109" s="30"/>
      <x:c r="C109" s="30"/>
      <x:c r="D109" s="30"/>
      <x:c r="E109" s="30"/>
      <x:c r="F109" s="30"/>
      <x:c r="G109" s="30"/>
      <x:c r="H109" s="31"/>
      <x:c r="I109" s="32"/>
      <x:c r="J109" s="33"/>
      <x:c r="K109" s="30"/>
      <x:c r="L109" s="30"/>
      <x:c r="M109" s="30"/>
      <x:c r="N109" s="30"/>
      <x:c r="O109" s="31"/>
      <x:c r="P109" s="30"/>
      <x:c r="Q109" s="30"/>
      <x:c r="R109" s="34" t="str">
        <x:f>IF(AND($B109&lt;&gt;"",$G109&lt;&gt;"Done",$G109&lt;&gt;"Canceled",OR($L109="Yes",$H109&lt;=TODAY()+1,$F109="P0 Critical",$F109="P1 High",$G109="Blocked",$G109="Waiting on Others")),COUNT($R$5:R108)+1,"")</x:f>
      </x:c>
      <x:c r="S109" s="34" t="str">
        <x:f>IF(AND($B109&lt;&gt;"",$G109&lt;&gt;"Done",$G109&lt;&gt;"Canceled",OR($M109="Yes",$G109="Blocked",$G109="Waiting on Others")),COUNT($S$5:S108)+1,"")</x:f>
      </x:c>
    </x:row>
    <x:row r="110">
      <x:c r="A110" s="30"/>
      <x:c r="B110" s="30"/>
      <x:c r="C110" s="30"/>
      <x:c r="D110" s="30"/>
      <x:c r="E110" s="30"/>
      <x:c r="F110" s="30"/>
      <x:c r="G110" s="30"/>
      <x:c r="H110" s="31"/>
      <x:c r="I110" s="32"/>
      <x:c r="J110" s="33"/>
      <x:c r="K110" s="30"/>
      <x:c r="L110" s="30"/>
      <x:c r="M110" s="30"/>
      <x:c r="N110" s="30"/>
      <x:c r="O110" s="31"/>
      <x:c r="P110" s="30"/>
      <x:c r="Q110" s="30"/>
      <x:c r="R110" s="34" t="str">
        <x:f>IF(AND($B110&lt;&gt;"",$G110&lt;&gt;"Done",$G110&lt;&gt;"Canceled",OR($L110="Yes",$H110&lt;=TODAY()+1,$F110="P0 Critical",$F110="P1 High",$G110="Blocked",$G110="Waiting on Others")),COUNT($R$5:R109)+1,"")</x:f>
      </x:c>
      <x:c r="S110" s="34" t="str">
        <x:f>IF(AND($B110&lt;&gt;"",$G110&lt;&gt;"Done",$G110&lt;&gt;"Canceled",OR($M110="Yes",$G110="Blocked",$G110="Waiting on Others")),COUNT($S$5:S109)+1,"")</x:f>
      </x:c>
    </x:row>
    <x:row r="111">
      <x:c r="A111" s="30"/>
      <x:c r="B111" s="30"/>
      <x:c r="C111" s="30"/>
      <x:c r="D111" s="30"/>
      <x:c r="E111" s="30"/>
      <x:c r="F111" s="30"/>
      <x:c r="G111" s="30"/>
      <x:c r="H111" s="31"/>
      <x:c r="I111" s="32"/>
      <x:c r="J111" s="33"/>
      <x:c r="K111" s="30"/>
      <x:c r="L111" s="30"/>
      <x:c r="M111" s="30"/>
      <x:c r="N111" s="30"/>
      <x:c r="O111" s="31"/>
      <x:c r="P111" s="30"/>
      <x:c r="Q111" s="30"/>
      <x:c r="R111" s="34" t="str">
        <x:f>IF(AND($B111&lt;&gt;"",$G111&lt;&gt;"Done",$G111&lt;&gt;"Canceled",OR($L111="Yes",$H111&lt;=TODAY()+1,$F111="P0 Critical",$F111="P1 High",$G111="Blocked",$G111="Waiting on Others")),COUNT($R$5:R110)+1,"")</x:f>
      </x:c>
      <x:c r="S111" s="34" t="str">
        <x:f>IF(AND($B111&lt;&gt;"",$G111&lt;&gt;"Done",$G111&lt;&gt;"Canceled",OR($M111="Yes",$G111="Blocked",$G111="Waiting on Others")),COUNT($S$5:S110)+1,"")</x:f>
      </x:c>
    </x:row>
    <x:row r="112">
      <x:c r="A112" s="30"/>
      <x:c r="B112" s="30"/>
      <x:c r="C112" s="30"/>
      <x:c r="D112" s="30"/>
      <x:c r="E112" s="30"/>
      <x:c r="F112" s="30"/>
      <x:c r="G112" s="30"/>
      <x:c r="H112" s="31"/>
      <x:c r="I112" s="32"/>
      <x:c r="J112" s="33"/>
      <x:c r="K112" s="30"/>
      <x:c r="L112" s="30"/>
      <x:c r="M112" s="30"/>
      <x:c r="N112" s="30"/>
      <x:c r="O112" s="31"/>
      <x:c r="P112" s="30"/>
      <x:c r="Q112" s="30"/>
      <x:c r="R112" s="34" t="str">
        <x:f>IF(AND($B112&lt;&gt;"",$G112&lt;&gt;"Done",$G112&lt;&gt;"Canceled",OR($L112="Yes",$H112&lt;=TODAY()+1,$F112="P0 Critical",$F112="P1 High",$G112="Blocked",$G112="Waiting on Others")),COUNT($R$5:R111)+1,"")</x:f>
      </x:c>
      <x:c r="S112" s="34" t="str">
        <x:f>IF(AND($B112&lt;&gt;"",$G112&lt;&gt;"Done",$G112&lt;&gt;"Canceled",OR($M112="Yes",$G112="Blocked",$G112="Waiting on Others")),COUNT($S$5:S111)+1,"")</x:f>
      </x:c>
    </x:row>
    <x:row r="113">
      <x:c r="A113" s="30"/>
      <x:c r="B113" s="30"/>
      <x:c r="C113" s="30"/>
      <x:c r="D113" s="30"/>
      <x:c r="E113" s="30"/>
      <x:c r="F113" s="30"/>
      <x:c r="G113" s="30"/>
      <x:c r="H113" s="31"/>
      <x:c r="I113" s="32"/>
      <x:c r="J113" s="33"/>
      <x:c r="K113" s="30"/>
      <x:c r="L113" s="30"/>
      <x:c r="M113" s="30"/>
      <x:c r="N113" s="30"/>
      <x:c r="O113" s="31"/>
      <x:c r="P113" s="30"/>
      <x:c r="Q113" s="30"/>
      <x:c r="R113" s="34" t="str">
        <x:f>IF(AND($B113&lt;&gt;"",$G113&lt;&gt;"Done",$G113&lt;&gt;"Canceled",OR($L113="Yes",$H113&lt;=TODAY()+1,$F113="P0 Critical",$F113="P1 High",$G113="Blocked",$G113="Waiting on Others")),COUNT($R$5:R112)+1,"")</x:f>
      </x:c>
      <x:c r="S113" s="34" t="str">
        <x:f>IF(AND($B113&lt;&gt;"",$G113&lt;&gt;"Done",$G113&lt;&gt;"Canceled",OR($M113="Yes",$G113="Blocked",$G113="Waiting on Others")),COUNT($S$5:S112)+1,"")</x:f>
      </x:c>
    </x:row>
    <x:row r="114">
      <x:c r="A114" s="30"/>
      <x:c r="B114" s="30"/>
      <x:c r="C114" s="30"/>
      <x:c r="D114" s="30"/>
      <x:c r="E114" s="30"/>
      <x:c r="F114" s="30"/>
      <x:c r="G114" s="30"/>
      <x:c r="H114" s="31"/>
      <x:c r="I114" s="32"/>
      <x:c r="J114" s="33"/>
      <x:c r="K114" s="30"/>
      <x:c r="L114" s="30"/>
      <x:c r="M114" s="30"/>
      <x:c r="N114" s="30"/>
      <x:c r="O114" s="31"/>
      <x:c r="P114" s="30"/>
      <x:c r="Q114" s="30"/>
      <x:c r="R114" s="34" t="str">
        <x:f>IF(AND($B114&lt;&gt;"",$G114&lt;&gt;"Done",$G114&lt;&gt;"Canceled",OR($L114="Yes",$H114&lt;=TODAY()+1,$F114="P0 Critical",$F114="P1 High",$G114="Blocked",$G114="Waiting on Others")),COUNT($R$5:R113)+1,"")</x:f>
      </x:c>
      <x:c r="S114" s="34" t="str">
        <x:f>IF(AND($B114&lt;&gt;"",$G114&lt;&gt;"Done",$G114&lt;&gt;"Canceled",OR($M114="Yes",$G114="Blocked",$G114="Waiting on Others")),COUNT($S$5:S113)+1,"")</x:f>
      </x:c>
    </x:row>
    <x:row r="115">
      <x:c r="A115" s="30"/>
      <x:c r="B115" s="30"/>
      <x:c r="C115" s="30"/>
      <x:c r="D115" s="30"/>
      <x:c r="E115" s="30"/>
      <x:c r="F115" s="30"/>
      <x:c r="G115" s="30"/>
      <x:c r="H115" s="31"/>
      <x:c r="I115" s="32"/>
      <x:c r="J115" s="33"/>
      <x:c r="K115" s="30"/>
      <x:c r="L115" s="30"/>
      <x:c r="M115" s="30"/>
      <x:c r="N115" s="30"/>
      <x:c r="O115" s="31"/>
      <x:c r="P115" s="30"/>
      <x:c r="Q115" s="30"/>
      <x:c r="R115" s="34" t="str">
        <x:f>IF(AND($B115&lt;&gt;"",$G115&lt;&gt;"Done",$G115&lt;&gt;"Canceled",OR($L115="Yes",$H115&lt;=TODAY()+1,$F115="P0 Critical",$F115="P1 High",$G115="Blocked",$G115="Waiting on Others")),COUNT($R$5:R114)+1,"")</x:f>
      </x:c>
      <x:c r="S115" s="34" t="str">
        <x:f>IF(AND($B115&lt;&gt;"",$G115&lt;&gt;"Done",$G115&lt;&gt;"Canceled",OR($M115="Yes",$G115="Blocked",$G115="Waiting on Others")),COUNT($S$5:S114)+1,"")</x:f>
      </x:c>
    </x:row>
    <x:row r="116">
      <x:c r="A116" s="30"/>
      <x:c r="B116" s="30"/>
      <x:c r="C116" s="30"/>
      <x:c r="D116" s="30"/>
      <x:c r="E116" s="30"/>
      <x:c r="F116" s="30"/>
      <x:c r="G116" s="30"/>
      <x:c r="H116" s="31"/>
      <x:c r="I116" s="32"/>
      <x:c r="J116" s="33"/>
      <x:c r="K116" s="30"/>
      <x:c r="L116" s="30"/>
      <x:c r="M116" s="30"/>
      <x:c r="N116" s="30"/>
      <x:c r="O116" s="31"/>
      <x:c r="P116" s="30"/>
      <x:c r="Q116" s="30"/>
      <x:c r="R116" s="34" t="str">
        <x:f>IF(AND($B116&lt;&gt;"",$G116&lt;&gt;"Done",$G116&lt;&gt;"Canceled",OR($L116="Yes",$H116&lt;=TODAY()+1,$F116="P0 Critical",$F116="P1 High",$G116="Blocked",$G116="Waiting on Others")),COUNT($R$5:R115)+1,"")</x:f>
      </x:c>
      <x:c r="S116" s="34" t="str">
        <x:f>IF(AND($B116&lt;&gt;"",$G116&lt;&gt;"Done",$G116&lt;&gt;"Canceled",OR($M116="Yes",$G116="Blocked",$G116="Waiting on Others")),COUNT($S$5:S115)+1,"")</x:f>
      </x:c>
    </x:row>
    <x:row r="117">
      <x:c r="A117" s="30"/>
      <x:c r="B117" s="30"/>
      <x:c r="C117" s="30"/>
      <x:c r="D117" s="30"/>
      <x:c r="E117" s="30"/>
      <x:c r="F117" s="30"/>
      <x:c r="G117" s="30"/>
      <x:c r="H117" s="31"/>
      <x:c r="I117" s="32"/>
      <x:c r="J117" s="33"/>
      <x:c r="K117" s="30"/>
      <x:c r="L117" s="30"/>
      <x:c r="M117" s="30"/>
      <x:c r="N117" s="30"/>
      <x:c r="O117" s="31"/>
      <x:c r="P117" s="30"/>
      <x:c r="Q117" s="30"/>
      <x:c r="R117" s="34" t="str">
        <x:f>IF(AND($B117&lt;&gt;"",$G117&lt;&gt;"Done",$G117&lt;&gt;"Canceled",OR($L117="Yes",$H117&lt;=TODAY()+1,$F117="P0 Critical",$F117="P1 High",$G117="Blocked",$G117="Waiting on Others")),COUNT($R$5:R116)+1,"")</x:f>
      </x:c>
      <x:c r="S117" s="34" t="str">
        <x:f>IF(AND($B117&lt;&gt;"",$G117&lt;&gt;"Done",$G117&lt;&gt;"Canceled",OR($M117="Yes",$G117="Blocked",$G117="Waiting on Others")),COUNT($S$5:S116)+1,"")</x:f>
      </x:c>
    </x:row>
    <x:row r="118">
      <x:c r="A118" s="30"/>
      <x:c r="B118" s="30"/>
      <x:c r="C118" s="30"/>
      <x:c r="D118" s="30"/>
      <x:c r="E118" s="30"/>
      <x:c r="F118" s="30"/>
      <x:c r="G118" s="30"/>
      <x:c r="H118" s="31"/>
      <x:c r="I118" s="32"/>
      <x:c r="J118" s="33"/>
      <x:c r="K118" s="30"/>
      <x:c r="L118" s="30"/>
      <x:c r="M118" s="30"/>
      <x:c r="N118" s="30"/>
      <x:c r="O118" s="31"/>
      <x:c r="P118" s="30"/>
      <x:c r="Q118" s="30"/>
      <x:c r="R118" s="34" t="str">
        <x:f>IF(AND($B118&lt;&gt;"",$G118&lt;&gt;"Done",$G118&lt;&gt;"Canceled",OR($L118="Yes",$H118&lt;=TODAY()+1,$F118="P0 Critical",$F118="P1 High",$G118="Blocked",$G118="Waiting on Others")),COUNT($R$5:R117)+1,"")</x:f>
      </x:c>
      <x:c r="S118" s="34" t="str">
        <x:f>IF(AND($B118&lt;&gt;"",$G118&lt;&gt;"Done",$G118&lt;&gt;"Canceled",OR($M118="Yes",$G118="Blocked",$G118="Waiting on Others")),COUNT($S$5:S117)+1,"")</x:f>
      </x:c>
    </x:row>
    <x:row r="119">
      <x:c r="A119" s="30"/>
      <x:c r="B119" s="30"/>
      <x:c r="C119" s="30"/>
      <x:c r="D119" s="30"/>
      <x:c r="E119" s="30"/>
      <x:c r="F119" s="30"/>
      <x:c r="G119" s="30"/>
      <x:c r="H119" s="31"/>
      <x:c r="I119" s="32"/>
      <x:c r="J119" s="33"/>
      <x:c r="K119" s="30"/>
      <x:c r="L119" s="30"/>
      <x:c r="M119" s="30"/>
      <x:c r="N119" s="30"/>
      <x:c r="O119" s="31"/>
      <x:c r="P119" s="30"/>
      <x:c r="Q119" s="30"/>
      <x:c r="R119" s="34" t="str">
        <x:f>IF(AND($B119&lt;&gt;"",$G119&lt;&gt;"Done",$G119&lt;&gt;"Canceled",OR($L119="Yes",$H119&lt;=TODAY()+1,$F119="P0 Critical",$F119="P1 High",$G119="Blocked",$G119="Waiting on Others")),COUNT($R$5:R118)+1,"")</x:f>
      </x:c>
      <x:c r="S119" s="34" t="str">
        <x:f>IF(AND($B119&lt;&gt;"",$G119&lt;&gt;"Done",$G119&lt;&gt;"Canceled",OR($M119="Yes",$G119="Blocked",$G119="Waiting on Others")),COUNT($S$5:S118)+1,"")</x:f>
      </x:c>
    </x:row>
    <x:row r="120">
      <x:c r="A120" s="30"/>
      <x:c r="B120" s="30"/>
      <x:c r="C120" s="30"/>
      <x:c r="D120" s="30"/>
      <x:c r="E120" s="30"/>
      <x:c r="F120" s="30"/>
      <x:c r="G120" s="30"/>
      <x:c r="H120" s="31"/>
      <x:c r="I120" s="32"/>
      <x:c r="J120" s="33"/>
      <x:c r="K120" s="30"/>
      <x:c r="L120" s="30"/>
      <x:c r="M120" s="30"/>
      <x:c r="N120" s="30"/>
      <x:c r="O120" s="31"/>
      <x:c r="P120" s="30"/>
      <x:c r="Q120" s="30"/>
      <x:c r="R120" s="34" t="str">
        <x:f>IF(AND($B120&lt;&gt;"",$G120&lt;&gt;"Done",$G120&lt;&gt;"Canceled",OR($L120="Yes",$H120&lt;=TODAY()+1,$F120="P0 Critical",$F120="P1 High",$G120="Blocked",$G120="Waiting on Others")),COUNT($R$5:R119)+1,"")</x:f>
      </x:c>
      <x:c r="S120" s="34" t="str">
        <x:f>IF(AND($B120&lt;&gt;"",$G120&lt;&gt;"Done",$G120&lt;&gt;"Canceled",OR($M120="Yes",$G120="Blocked",$G120="Waiting on Others")),COUNT($S$5:S119)+1,"")</x:f>
      </x:c>
    </x:row>
    <x:row r="121">
      <x:c r="A121" s="30"/>
      <x:c r="B121" s="30"/>
      <x:c r="C121" s="30"/>
      <x:c r="D121" s="30"/>
      <x:c r="E121" s="30"/>
      <x:c r="F121" s="30"/>
      <x:c r="G121" s="30"/>
      <x:c r="H121" s="31"/>
      <x:c r="I121" s="32"/>
      <x:c r="J121" s="33"/>
      <x:c r="K121" s="30"/>
      <x:c r="L121" s="30"/>
      <x:c r="M121" s="30"/>
      <x:c r="N121" s="30"/>
      <x:c r="O121" s="31"/>
      <x:c r="P121" s="30"/>
      <x:c r="Q121" s="30"/>
      <x:c r="R121" s="34" t="str">
        <x:f>IF(AND($B121&lt;&gt;"",$G121&lt;&gt;"Done",$G121&lt;&gt;"Canceled",OR($L121="Yes",$H121&lt;=TODAY()+1,$F121="P0 Critical",$F121="P1 High",$G121="Blocked",$G121="Waiting on Others")),COUNT($R$5:R120)+1,"")</x:f>
      </x:c>
      <x:c r="S121" s="34" t="str">
        <x:f>IF(AND($B121&lt;&gt;"",$G121&lt;&gt;"Done",$G121&lt;&gt;"Canceled",OR($M121="Yes",$G121="Blocked",$G121="Waiting on Others")),COUNT($S$5:S120)+1,"")</x:f>
      </x:c>
    </x:row>
    <x:row r="122">
      <x:c r="A122" s="30"/>
      <x:c r="B122" s="30"/>
      <x:c r="C122" s="30"/>
      <x:c r="D122" s="30"/>
      <x:c r="E122" s="30"/>
      <x:c r="F122" s="30"/>
      <x:c r="G122" s="30"/>
      <x:c r="H122" s="31"/>
      <x:c r="I122" s="32"/>
      <x:c r="J122" s="33"/>
      <x:c r="K122" s="30"/>
      <x:c r="L122" s="30"/>
      <x:c r="M122" s="30"/>
      <x:c r="N122" s="30"/>
      <x:c r="O122" s="31"/>
      <x:c r="P122" s="30"/>
      <x:c r="Q122" s="30"/>
      <x:c r="R122" s="34" t="str">
        <x:f>IF(AND($B122&lt;&gt;"",$G122&lt;&gt;"Done",$G122&lt;&gt;"Canceled",OR($L122="Yes",$H122&lt;=TODAY()+1,$F122="P0 Critical",$F122="P1 High",$G122="Blocked",$G122="Waiting on Others")),COUNT($R$5:R121)+1,"")</x:f>
      </x:c>
      <x:c r="S122" s="34" t="str">
        <x:f>IF(AND($B122&lt;&gt;"",$G122&lt;&gt;"Done",$G122&lt;&gt;"Canceled",OR($M122="Yes",$G122="Blocked",$G122="Waiting on Others")),COUNT($S$5:S121)+1,"")</x:f>
      </x:c>
    </x:row>
    <x:row r="123">
      <x:c r="A123" s="30"/>
      <x:c r="B123" s="30"/>
      <x:c r="C123" s="30"/>
      <x:c r="D123" s="30"/>
      <x:c r="E123" s="30"/>
      <x:c r="F123" s="30"/>
      <x:c r="G123" s="30"/>
      <x:c r="H123" s="31"/>
      <x:c r="I123" s="32"/>
      <x:c r="J123" s="33"/>
      <x:c r="K123" s="30"/>
      <x:c r="L123" s="30"/>
      <x:c r="M123" s="30"/>
      <x:c r="N123" s="30"/>
      <x:c r="O123" s="31"/>
      <x:c r="P123" s="30"/>
      <x:c r="Q123" s="30"/>
      <x:c r="R123" s="34" t="str">
        <x:f>IF(AND($B123&lt;&gt;"",$G123&lt;&gt;"Done",$G123&lt;&gt;"Canceled",OR($L123="Yes",$H123&lt;=TODAY()+1,$F123="P0 Critical",$F123="P1 High",$G123="Blocked",$G123="Waiting on Others")),COUNT($R$5:R122)+1,"")</x:f>
      </x:c>
      <x:c r="S123" s="34" t="str">
        <x:f>IF(AND($B123&lt;&gt;"",$G123&lt;&gt;"Done",$G123&lt;&gt;"Canceled",OR($M123="Yes",$G123="Blocked",$G123="Waiting on Others")),COUNT($S$5:S122)+1,"")</x:f>
      </x:c>
    </x:row>
    <x:row r="124">
      <x:c r="A124" s="30"/>
      <x:c r="B124" s="30"/>
      <x:c r="C124" s="30"/>
      <x:c r="D124" s="30"/>
      <x:c r="E124" s="30"/>
      <x:c r="F124" s="30"/>
      <x:c r="G124" s="30"/>
      <x:c r="H124" s="31"/>
      <x:c r="I124" s="32"/>
      <x:c r="J124" s="33"/>
      <x:c r="K124" s="30"/>
      <x:c r="L124" s="30"/>
      <x:c r="M124" s="30"/>
      <x:c r="N124" s="30"/>
      <x:c r="O124" s="31"/>
      <x:c r="P124" s="30"/>
      <x:c r="Q124" s="30"/>
      <x:c r="R124" s="34" t="str">
        <x:f>IF(AND($B124&lt;&gt;"",$G124&lt;&gt;"Done",$G124&lt;&gt;"Canceled",OR($L124="Yes",$H124&lt;=TODAY()+1,$F124="P0 Critical",$F124="P1 High",$G124="Blocked",$G124="Waiting on Others")),COUNT($R$5:R123)+1,"")</x:f>
      </x:c>
      <x:c r="S124" s="34" t="str">
        <x:f>IF(AND($B124&lt;&gt;"",$G124&lt;&gt;"Done",$G124&lt;&gt;"Canceled",OR($M124="Yes",$G124="Blocked",$G124="Waiting on Others")),COUNT($S$5:S123)+1,"")</x:f>
      </x:c>
    </x:row>
    <x:row r="125">
      <x:c r="A125" s="30"/>
      <x:c r="B125" s="30"/>
      <x:c r="C125" s="30"/>
      <x:c r="D125" s="30"/>
      <x:c r="E125" s="30"/>
      <x:c r="F125" s="30"/>
      <x:c r="G125" s="30"/>
      <x:c r="H125" s="31"/>
      <x:c r="I125" s="32"/>
      <x:c r="J125" s="33"/>
      <x:c r="K125" s="30"/>
      <x:c r="L125" s="30"/>
      <x:c r="M125" s="30"/>
      <x:c r="N125" s="30"/>
      <x:c r="O125" s="31"/>
      <x:c r="P125" s="30"/>
      <x:c r="Q125" s="30"/>
      <x:c r="R125" s="34" t="str">
        <x:f>IF(AND($B125&lt;&gt;"",$G125&lt;&gt;"Done",$G125&lt;&gt;"Canceled",OR($L125="Yes",$H125&lt;=TODAY()+1,$F125="P0 Critical",$F125="P1 High",$G125="Blocked",$G125="Waiting on Others")),COUNT($R$5:R124)+1,"")</x:f>
      </x:c>
      <x:c r="S125" s="34" t="str">
        <x:f>IF(AND($B125&lt;&gt;"",$G125&lt;&gt;"Done",$G125&lt;&gt;"Canceled",OR($M125="Yes",$G125="Blocked",$G125="Waiting on Others")),COUNT($S$5:S124)+1,"")</x:f>
      </x:c>
    </x:row>
    <x:row r="126">
      <x:c r="A126" s="30"/>
      <x:c r="B126" s="30"/>
      <x:c r="C126" s="30"/>
      <x:c r="D126" s="30"/>
      <x:c r="E126" s="30"/>
      <x:c r="F126" s="30"/>
      <x:c r="G126" s="30"/>
      <x:c r="H126" s="31"/>
      <x:c r="I126" s="32"/>
      <x:c r="J126" s="33"/>
      <x:c r="K126" s="30"/>
      <x:c r="L126" s="30"/>
      <x:c r="M126" s="30"/>
      <x:c r="N126" s="30"/>
      <x:c r="O126" s="31"/>
      <x:c r="P126" s="30"/>
      <x:c r="Q126" s="30"/>
      <x:c r="R126" s="34" t="str">
        <x:f>IF(AND($B126&lt;&gt;"",$G126&lt;&gt;"Done",$G126&lt;&gt;"Canceled",OR($L126="Yes",$H126&lt;=TODAY()+1,$F126="P0 Critical",$F126="P1 High",$G126="Blocked",$G126="Waiting on Others")),COUNT($R$5:R125)+1,"")</x:f>
      </x:c>
      <x:c r="S126" s="34" t="str">
        <x:f>IF(AND($B126&lt;&gt;"",$G126&lt;&gt;"Done",$G126&lt;&gt;"Canceled",OR($M126="Yes",$G126="Blocked",$G126="Waiting on Others")),COUNT($S$5:S125)+1,"")</x:f>
      </x:c>
    </x:row>
    <x:row r="127">
      <x:c r="A127" s="30"/>
      <x:c r="B127" s="30"/>
      <x:c r="C127" s="30"/>
      <x:c r="D127" s="30"/>
      <x:c r="E127" s="30"/>
      <x:c r="F127" s="30"/>
      <x:c r="G127" s="30"/>
      <x:c r="H127" s="31"/>
      <x:c r="I127" s="32"/>
      <x:c r="J127" s="33"/>
      <x:c r="K127" s="30"/>
      <x:c r="L127" s="30"/>
      <x:c r="M127" s="30"/>
      <x:c r="N127" s="30"/>
      <x:c r="O127" s="31"/>
      <x:c r="P127" s="30"/>
      <x:c r="Q127" s="30"/>
      <x:c r="R127" s="34" t="str">
        <x:f>IF(AND($B127&lt;&gt;"",$G127&lt;&gt;"Done",$G127&lt;&gt;"Canceled",OR($L127="Yes",$H127&lt;=TODAY()+1,$F127="P0 Critical",$F127="P1 High",$G127="Blocked",$G127="Waiting on Others")),COUNT($R$5:R126)+1,"")</x:f>
      </x:c>
      <x:c r="S127" s="34" t="str">
        <x:f>IF(AND($B127&lt;&gt;"",$G127&lt;&gt;"Done",$G127&lt;&gt;"Canceled",OR($M127="Yes",$G127="Blocked",$G127="Waiting on Others")),COUNT($S$5:S126)+1,"")</x:f>
      </x:c>
    </x:row>
    <x:row r="128">
      <x:c r="A128" s="30"/>
      <x:c r="B128" s="30"/>
      <x:c r="C128" s="30"/>
      <x:c r="D128" s="30"/>
      <x:c r="E128" s="30"/>
      <x:c r="F128" s="30"/>
      <x:c r="G128" s="30"/>
      <x:c r="H128" s="31"/>
      <x:c r="I128" s="32"/>
      <x:c r="J128" s="33"/>
      <x:c r="K128" s="30"/>
      <x:c r="L128" s="30"/>
      <x:c r="M128" s="30"/>
      <x:c r="N128" s="30"/>
      <x:c r="O128" s="31"/>
      <x:c r="P128" s="30"/>
      <x:c r="Q128" s="30"/>
      <x:c r="R128" s="34" t="str">
        <x:f>IF(AND($B128&lt;&gt;"",$G128&lt;&gt;"Done",$G128&lt;&gt;"Canceled",OR($L128="Yes",$H128&lt;=TODAY()+1,$F128="P0 Critical",$F128="P1 High",$G128="Blocked",$G128="Waiting on Others")),COUNT($R$5:R127)+1,"")</x:f>
      </x:c>
      <x:c r="S128" s="34" t="str">
        <x:f>IF(AND($B128&lt;&gt;"",$G128&lt;&gt;"Done",$G128&lt;&gt;"Canceled",OR($M128="Yes",$G128="Blocked",$G128="Waiting on Others")),COUNT($S$5:S127)+1,"")</x:f>
      </x:c>
    </x:row>
    <x:row r="129">
      <x:c r="A129" s="30"/>
      <x:c r="B129" s="30"/>
      <x:c r="C129" s="30"/>
      <x:c r="D129" s="30"/>
      <x:c r="E129" s="30"/>
      <x:c r="F129" s="30"/>
      <x:c r="G129" s="30"/>
      <x:c r="H129" s="31"/>
      <x:c r="I129" s="32"/>
      <x:c r="J129" s="33"/>
      <x:c r="K129" s="30"/>
      <x:c r="L129" s="30"/>
      <x:c r="M129" s="30"/>
      <x:c r="N129" s="30"/>
      <x:c r="O129" s="31"/>
      <x:c r="P129" s="30"/>
      <x:c r="Q129" s="30"/>
      <x:c r="R129" s="34" t="str">
        <x:f>IF(AND($B129&lt;&gt;"",$G129&lt;&gt;"Done",$G129&lt;&gt;"Canceled",OR($L129="Yes",$H129&lt;=TODAY()+1,$F129="P0 Critical",$F129="P1 High",$G129="Blocked",$G129="Waiting on Others")),COUNT($R$5:R128)+1,"")</x:f>
      </x:c>
      <x:c r="S129" s="34" t="str">
        <x:f>IF(AND($B129&lt;&gt;"",$G129&lt;&gt;"Done",$G129&lt;&gt;"Canceled",OR($M129="Yes",$G129="Blocked",$G129="Waiting on Others")),COUNT($S$5:S128)+1,"")</x:f>
      </x:c>
    </x:row>
    <x:row r="130">
      <x:c r="A130" s="30"/>
      <x:c r="B130" s="30"/>
      <x:c r="C130" s="30"/>
      <x:c r="D130" s="30"/>
      <x:c r="E130" s="30"/>
      <x:c r="F130" s="30"/>
      <x:c r="G130" s="30"/>
      <x:c r="H130" s="31"/>
      <x:c r="I130" s="32"/>
      <x:c r="J130" s="33"/>
      <x:c r="K130" s="30"/>
      <x:c r="L130" s="30"/>
      <x:c r="M130" s="30"/>
      <x:c r="N130" s="30"/>
      <x:c r="O130" s="31"/>
      <x:c r="P130" s="30"/>
      <x:c r="Q130" s="30"/>
      <x:c r="R130" s="34" t="str">
        <x:f>IF(AND($B130&lt;&gt;"",$G130&lt;&gt;"Done",$G130&lt;&gt;"Canceled",OR($L130="Yes",$H130&lt;=TODAY()+1,$F130="P0 Critical",$F130="P1 High",$G130="Blocked",$G130="Waiting on Others")),COUNT($R$5:R129)+1,"")</x:f>
      </x:c>
      <x:c r="S130" s="34" t="str">
        <x:f>IF(AND($B130&lt;&gt;"",$G130&lt;&gt;"Done",$G130&lt;&gt;"Canceled",OR($M130="Yes",$G130="Blocked",$G130="Waiting on Others")),COUNT($S$5:S129)+1,"")</x:f>
      </x:c>
    </x:row>
    <x:row r="131">
      <x:c r="A131" s="30"/>
      <x:c r="B131" s="30"/>
      <x:c r="C131" s="30"/>
      <x:c r="D131" s="30"/>
      <x:c r="E131" s="30"/>
      <x:c r="F131" s="30"/>
      <x:c r="G131" s="30"/>
      <x:c r="H131" s="31"/>
      <x:c r="I131" s="32"/>
      <x:c r="J131" s="33"/>
      <x:c r="K131" s="30"/>
      <x:c r="L131" s="30"/>
      <x:c r="M131" s="30"/>
      <x:c r="N131" s="30"/>
      <x:c r="O131" s="31"/>
      <x:c r="P131" s="30"/>
      <x:c r="Q131" s="30"/>
      <x:c r="R131" s="34" t="str">
        <x:f>IF(AND($B131&lt;&gt;"",$G131&lt;&gt;"Done",$G131&lt;&gt;"Canceled",OR($L131="Yes",$H131&lt;=TODAY()+1,$F131="P0 Critical",$F131="P1 High",$G131="Blocked",$G131="Waiting on Others")),COUNT($R$5:R130)+1,"")</x:f>
      </x:c>
      <x:c r="S131" s="34" t="str">
        <x:f>IF(AND($B131&lt;&gt;"",$G131&lt;&gt;"Done",$G131&lt;&gt;"Canceled",OR($M131="Yes",$G131="Blocked",$G131="Waiting on Others")),COUNT($S$5:S130)+1,"")</x:f>
      </x:c>
    </x:row>
    <x:row r="132">
      <x:c r="A132" s="30"/>
      <x:c r="B132" s="30"/>
      <x:c r="C132" s="30"/>
      <x:c r="D132" s="30"/>
      <x:c r="E132" s="30"/>
      <x:c r="F132" s="30"/>
      <x:c r="G132" s="30"/>
      <x:c r="H132" s="31"/>
      <x:c r="I132" s="32"/>
      <x:c r="J132" s="33"/>
      <x:c r="K132" s="30"/>
      <x:c r="L132" s="30"/>
      <x:c r="M132" s="30"/>
      <x:c r="N132" s="30"/>
      <x:c r="O132" s="31"/>
      <x:c r="P132" s="30"/>
      <x:c r="Q132" s="30"/>
      <x:c r="R132" s="34" t="str">
        <x:f>IF(AND($B132&lt;&gt;"",$G132&lt;&gt;"Done",$G132&lt;&gt;"Canceled",OR($L132="Yes",$H132&lt;=TODAY()+1,$F132="P0 Critical",$F132="P1 High",$G132="Blocked",$G132="Waiting on Others")),COUNT($R$5:R131)+1,"")</x:f>
      </x:c>
      <x:c r="S132" s="34" t="str">
        <x:f>IF(AND($B132&lt;&gt;"",$G132&lt;&gt;"Done",$G132&lt;&gt;"Canceled",OR($M132="Yes",$G132="Blocked",$G132="Waiting on Others")),COUNT($S$5:S131)+1,"")</x:f>
      </x:c>
    </x:row>
    <x:row r="133">
      <x:c r="A133" s="30"/>
      <x:c r="B133" s="30"/>
      <x:c r="C133" s="30"/>
      <x:c r="D133" s="30"/>
      <x:c r="E133" s="30"/>
      <x:c r="F133" s="30"/>
      <x:c r="G133" s="30"/>
      <x:c r="H133" s="31"/>
      <x:c r="I133" s="32"/>
      <x:c r="J133" s="33"/>
      <x:c r="K133" s="30"/>
      <x:c r="L133" s="30"/>
      <x:c r="M133" s="30"/>
      <x:c r="N133" s="30"/>
      <x:c r="O133" s="31"/>
      <x:c r="P133" s="30"/>
      <x:c r="Q133" s="30"/>
      <x:c r="R133" s="34" t="str">
        <x:f>IF(AND($B133&lt;&gt;"",$G133&lt;&gt;"Done",$G133&lt;&gt;"Canceled",OR($L133="Yes",$H133&lt;=TODAY()+1,$F133="P0 Critical",$F133="P1 High",$G133="Blocked",$G133="Waiting on Others")),COUNT($R$5:R132)+1,"")</x:f>
      </x:c>
      <x:c r="S133" s="34" t="str">
        <x:f>IF(AND($B133&lt;&gt;"",$G133&lt;&gt;"Done",$G133&lt;&gt;"Canceled",OR($M133="Yes",$G133="Blocked",$G133="Waiting on Others")),COUNT($S$5:S132)+1,"")</x:f>
      </x:c>
    </x:row>
    <x:row r="134">
      <x:c r="A134" s="30"/>
      <x:c r="B134" s="30"/>
      <x:c r="C134" s="30"/>
      <x:c r="D134" s="30"/>
      <x:c r="E134" s="30"/>
      <x:c r="F134" s="30"/>
      <x:c r="G134" s="30"/>
      <x:c r="H134" s="31"/>
      <x:c r="I134" s="32"/>
      <x:c r="J134" s="33"/>
      <x:c r="K134" s="30"/>
      <x:c r="L134" s="30"/>
      <x:c r="M134" s="30"/>
      <x:c r="N134" s="30"/>
      <x:c r="O134" s="31"/>
      <x:c r="P134" s="30"/>
      <x:c r="Q134" s="30"/>
      <x:c r="R134" s="34" t="str">
        <x:f>IF(AND($B134&lt;&gt;"",$G134&lt;&gt;"Done",$G134&lt;&gt;"Canceled",OR($L134="Yes",$H134&lt;=TODAY()+1,$F134="P0 Critical",$F134="P1 High",$G134="Blocked",$G134="Waiting on Others")),COUNT($R$5:R133)+1,"")</x:f>
      </x:c>
      <x:c r="S134" s="34" t="str">
        <x:f>IF(AND($B134&lt;&gt;"",$G134&lt;&gt;"Done",$G134&lt;&gt;"Canceled",OR($M134="Yes",$G134="Blocked",$G134="Waiting on Others")),COUNT($S$5:S133)+1,"")</x:f>
      </x:c>
    </x:row>
    <x:row r="135">
      <x:c r="A135" s="30"/>
      <x:c r="B135" s="30"/>
      <x:c r="C135" s="30"/>
      <x:c r="D135" s="30"/>
      <x:c r="E135" s="30"/>
      <x:c r="F135" s="30"/>
      <x:c r="G135" s="30"/>
      <x:c r="H135" s="31"/>
      <x:c r="I135" s="32"/>
      <x:c r="J135" s="33"/>
      <x:c r="K135" s="30"/>
      <x:c r="L135" s="30"/>
      <x:c r="M135" s="30"/>
      <x:c r="N135" s="30"/>
      <x:c r="O135" s="31"/>
      <x:c r="P135" s="30"/>
      <x:c r="Q135" s="30"/>
      <x:c r="R135" s="34" t="str">
        <x:f>IF(AND($B135&lt;&gt;"",$G135&lt;&gt;"Done",$G135&lt;&gt;"Canceled",OR($L135="Yes",$H135&lt;=TODAY()+1,$F135="P0 Critical",$F135="P1 High",$G135="Blocked",$G135="Waiting on Others")),COUNT($R$5:R134)+1,"")</x:f>
      </x:c>
      <x:c r="S135" s="34" t="str">
        <x:f>IF(AND($B135&lt;&gt;"",$G135&lt;&gt;"Done",$G135&lt;&gt;"Canceled",OR($M135="Yes",$G135="Blocked",$G135="Waiting on Others")),COUNT($S$5:S134)+1,"")</x:f>
      </x:c>
    </x:row>
    <x:row r="136">
      <x:c r="A136" s="30"/>
      <x:c r="B136" s="30"/>
      <x:c r="C136" s="30"/>
      <x:c r="D136" s="30"/>
      <x:c r="E136" s="30"/>
      <x:c r="F136" s="30"/>
      <x:c r="G136" s="30"/>
      <x:c r="H136" s="31"/>
      <x:c r="I136" s="32"/>
      <x:c r="J136" s="33"/>
      <x:c r="K136" s="30"/>
      <x:c r="L136" s="30"/>
      <x:c r="M136" s="30"/>
      <x:c r="N136" s="30"/>
      <x:c r="O136" s="31"/>
      <x:c r="P136" s="30"/>
      <x:c r="Q136" s="30"/>
      <x:c r="R136" s="34" t="str">
        <x:f>IF(AND($B136&lt;&gt;"",$G136&lt;&gt;"Done",$G136&lt;&gt;"Canceled",OR($L136="Yes",$H136&lt;=TODAY()+1,$F136="P0 Critical",$F136="P1 High",$G136="Blocked",$G136="Waiting on Others")),COUNT($R$5:R135)+1,"")</x:f>
      </x:c>
      <x:c r="S136" s="34" t="str">
        <x:f>IF(AND($B136&lt;&gt;"",$G136&lt;&gt;"Done",$G136&lt;&gt;"Canceled",OR($M136="Yes",$G136="Blocked",$G136="Waiting on Others")),COUNT($S$5:S135)+1,"")</x:f>
      </x:c>
    </x:row>
    <x:row r="137">
      <x:c r="A137" s="30"/>
      <x:c r="B137" s="30"/>
      <x:c r="C137" s="30"/>
      <x:c r="D137" s="30"/>
      <x:c r="E137" s="30"/>
      <x:c r="F137" s="30"/>
      <x:c r="G137" s="30"/>
      <x:c r="H137" s="31"/>
      <x:c r="I137" s="32"/>
      <x:c r="J137" s="33"/>
      <x:c r="K137" s="30"/>
      <x:c r="L137" s="30"/>
      <x:c r="M137" s="30"/>
      <x:c r="N137" s="30"/>
      <x:c r="O137" s="31"/>
      <x:c r="P137" s="30"/>
      <x:c r="Q137" s="30"/>
      <x:c r="R137" s="34" t="str">
        <x:f>IF(AND($B137&lt;&gt;"",$G137&lt;&gt;"Done",$G137&lt;&gt;"Canceled",OR($L137="Yes",$H137&lt;=TODAY()+1,$F137="P0 Critical",$F137="P1 High",$G137="Blocked",$G137="Waiting on Others")),COUNT($R$5:R136)+1,"")</x:f>
      </x:c>
      <x:c r="S137" s="34" t="str">
        <x:f>IF(AND($B137&lt;&gt;"",$G137&lt;&gt;"Done",$G137&lt;&gt;"Canceled",OR($M137="Yes",$G137="Blocked",$G137="Waiting on Others")),COUNT($S$5:S136)+1,"")</x:f>
      </x:c>
    </x:row>
    <x:row r="138">
      <x:c r="A138" s="30"/>
      <x:c r="B138" s="30"/>
      <x:c r="C138" s="30"/>
      <x:c r="D138" s="30"/>
      <x:c r="E138" s="30"/>
      <x:c r="F138" s="30"/>
      <x:c r="G138" s="30"/>
      <x:c r="H138" s="31"/>
      <x:c r="I138" s="32"/>
      <x:c r="J138" s="33"/>
      <x:c r="K138" s="30"/>
      <x:c r="L138" s="30"/>
      <x:c r="M138" s="30"/>
      <x:c r="N138" s="30"/>
      <x:c r="O138" s="31"/>
      <x:c r="P138" s="30"/>
      <x:c r="Q138" s="30"/>
      <x:c r="R138" s="34" t="str">
        <x:f>IF(AND($B138&lt;&gt;"",$G138&lt;&gt;"Done",$G138&lt;&gt;"Canceled",OR($L138="Yes",$H138&lt;=TODAY()+1,$F138="P0 Critical",$F138="P1 High",$G138="Blocked",$G138="Waiting on Others")),COUNT($R$5:R137)+1,"")</x:f>
      </x:c>
      <x:c r="S138" s="34" t="str">
        <x:f>IF(AND($B138&lt;&gt;"",$G138&lt;&gt;"Done",$G138&lt;&gt;"Canceled",OR($M138="Yes",$G138="Blocked",$G138="Waiting on Others")),COUNT($S$5:S137)+1,"")</x:f>
      </x:c>
    </x:row>
    <x:row r="139">
      <x:c r="A139" s="30"/>
      <x:c r="B139" s="30"/>
      <x:c r="C139" s="30"/>
      <x:c r="D139" s="30"/>
      <x:c r="E139" s="30"/>
      <x:c r="F139" s="30"/>
      <x:c r="G139" s="30"/>
      <x:c r="H139" s="31"/>
      <x:c r="I139" s="32"/>
      <x:c r="J139" s="33"/>
      <x:c r="K139" s="30"/>
      <x:c r="L139" s="30"/>
      <x:c r="M139" s="30"/>
      <x:c r="N139" s="30"/>
      <x:c r="O139" s="31"/>
      <x:c r="P139" s="30"/>
      <x:c r="Q139" s="30"/>
      <x:c r="R139" s="34" t="str">
        <x:f>IF(AND($B139&lt;&gt;"",$G139&lt;&gt;"Done",$G139&lt;&gt;"Canceled",OR($L139="Yes",$H139&lt;=TODAY()+1,$F139="P0 Critical",$F139="P1 High",$G139="Blocked",$G139="Waiting on Others")),COUNT($R$5:R138)+1,"")</x:f>
      </x:c>
      <x:c r="S139" s="34" t="str">
        <x:f>IF(AND($B139&lt;&gt;"",$G139&lt;&gt;"Done",$G139&lt;&gt;"Canceled",OR($M139="Yes",$G139="Blocked",$G139="Waiting on Others")),COUNT($S$5:S138)+1,"")</x:f>
      </x:c>
    </x:row>
    <x:row r="140">
      <x:c r="A140" s="30"/>
      <x:c r="B140" s="30"/>
      <x:c r="C140" s="30"/>
      <x:c r="D140" s="30"/>
      <x:c r="E140" s="30"/>
      <x:c r="F140" s="30"/>
      <x:c r="G140" s="30"/>
      <x:c r="H140" s="31"/>
      <x:c r="I140" s="32"/>
      <x:c r="J140" s="33"/>
      <x:c r="K140" s="30"/>
      <x:c r="L140" s="30"/>
      <x:c r="M140" s="30"/>
      <x:c r="N140" s="30"/>
      <x:c r="O140" s="31"/>
      <x:c r="P140" s="30"/>
      <x:c r="Q140" s="30"/>
      <x:c r="R140" s="34" t="str">
        <x:f>IF(AND($B140&lt;&gt;"",$G140&lt;&gt;"Done",$G140&lt;&gt;"Canceled",OR($L140="Yes",$H140&lt;=TODAY()+1,$F140="P0 Critical",$F140="P1 High",$G140="Blocked",$G140="Waiting on Others")),COUNT($R$5:R139)+1,"")</x:f>
      </x:c>
      <x:c r="S140" s="34" t="str">
        <x:f>IF(AND($B140&lt;&gt;"",$G140&lt;&gt;"Done",$G140&lt;&gt;"Canceled",OR($M140="Yes",$G140="Blocked",$G140="Waiting on Others")),COUNT($S$5:S139)+1,"")</x:f>
      </x:c>
    </x:row>
    <x:row r="141">
      <x:c r="A141" s="30"/>
      <x:c r="B141" s="30"/>
      <x:c r="C141" s="30"/>
      <x:c r="D141" s="30"/>
      <x:c r="E141" s="30"/>
      <x:c r="F141" s="30"/>
      <x:c r="G141" s="30"/>
      <x:c r="H141" s="31"/>
      <x:c r="I141" s="32"/>
      <x:c r="J141" s="33"/>
      <x:c r="K141" s="30"/>
      <x:c r="L141" s="30"/>
      <x:c r="M141" s="30"/>
      <x:c r="N141" s="30"/>
      <x:c r="O141" s="31"/>
      <x:c r="P141" s="30"/>
      <x:c r="Q141" s="30"/>
      <x:c r="R141" s="34" t="str">
        <x:f>IF(AND($B141&lt;&gt;"",$G141&lt;&gt;"Done",$G141&lt;&gt;"Canceled",OR($L141="Yes",$H141&lt;=TODAY()+1,$F141="P0 Critical",$F141="P1 High",$G141="Blocked",$G141="Waiting on Others")),COUNT($R$5:R140)+1,"")</x:f>
      </x:c>
      <x:c r="S141" s="34" t="str">
        <x:f>IF(AND($B141&lt;&gt;"",$G141&lt;&gt;"Done",$G141&lt;&gt;"Canceled",OR($M141="Yes",$G141="Blocked",$G141="Waiting on Others")),COUNT($S$5:S140)+1,"")</x:f>
      </x:c>
    </x:row>
    <x:row r="142">
      <x:c r="A142" s="30"/>
      <x:c r="B142" s="30"/>
      <x:c r="C142" s="30"/>
      <x:c r="D142" s="30"/>
      <x:c r="E142" s="30"/>
      <x:c r="F142" s="30"/>
      <x:c r="G142" s="30"/>
      <x:c r="H142" s="31"/>
      <x:c r="I142" s="32"/>
      <x:c r="J142" s="33"/>
      <x:c r="K142" s="30"/>
      <x:c r="L142" s="30"/>
      <x:c r="M142" s="30"/>
      <x:c r="N142" s="30"/>
      <x:c r="O142" s="31"/>
      <x:c r="P142" s="30"/>
      <x:c r="Q142" s="30"/>
      <x:c r="R142" s="34" t="str">
        <x:f>IF(AND($B142&lt;&gt;"",$G142&lt;&gt;"Done",$G142&lt;&gt;"Canceled",OR($L142="Yes",$H142&lt;=TODAY()+1,$F142="P0 Critical",$F142="P1 High",$G142="Blocked",$G142="Waiting on Others")),COUNT($R$5:R141)+1,"")</x:f>
      </x:c>
      <x:c r="S142" s="34" t="str">
        <x:f>IF(AND($B142&lt;&gt;"",$G142&lt;&gt;"Done",$G142&lt;&gt;"Canceled",OR($M142="Yes",$G142="Blocked",$G142="Waiting on Others")),COUNT($S$5:S141)+1,"")</x:f>
      </x:c>
    </x:row>
    <x:row r="143">
      <x:c r="A143" s="30"/>
      <x:c r="B143" s="30"/>
      <x:c r="C143" s="30"/>
      <x:c r="D143" s="30"/>
      <x:c r="E143" s="30"/>
      <x:c r="F143" s="30"/>
      <x:c r="G143" s="30"/>
      <x:c r="H143" s="31"/>
      <x:c r="I143" s="32"/>
      <x:c r="J143" s="33"/>
      <x:c r="K143" s="30"/>
      <x:c r="L143" s="30"/>
      <x:c r="M143" s="30"/>
      <x:c r="N143" s="30"/>
      <x:c r="O143" s="31"/>
      <x:c r="P143" s="30"/>
      <x:c r="Q143" s="30"/>
      <x:c r="R143" s="34" t="str">
        <x:f>IF(AND($B143&lt;&gt;"",$G143&lt;&gt;"Done",$G143&lt;&gt;"Canceled",OR($L143="Yes",$H143&lt;=TODAY()+1,$F143="P0 Critical",$F143="P1 High",$G143="Blocked",$G143="Waiting on Others")),COUNT($R$5:R142)+1,"")</x:f>
      </x:c>
      <x:c r="S143" s="34" t="str">
        <x:f>IF(AND($B143&lt;&gt;"",$G143&lt;&gt;"Done",$G143&lt;&gt;"Canceled",OR($M143="Yes",$G143="Blocked",$G143="Waiting on Others")),COUNT($S$5:S142)+1,"")</x:f>
      </x:c>
    </x:row>
    <x:row r="144">
      <x:c r="A144" s="30"/>
      <x:c r="B144" s="30"/>
      <x:c r="C144" s="30"/>
      <x:c r="D144" s="30"/>
      <x:c r="E144" s="30"/>
      <x:c r="F144" s="30"/>
      <x:c r="G144" s="30"/>
      <x:c r="H144" s="31"/>
      <x:c r="I144" s="32"/>
      <x:c r="J144" s="33"/>
      <x:c r="K144" s="30"/>
      <x:c r="L144" s="30"/>
      <x:c r="M144" s="30"/>
      <x:c r="N144" s="30"/>
      <x:c r="O144" s="31"/>
      <x:c r="P144" s="30"/>
      <x:c r="Q144" s="30"/>
      <x:c r="R144" s="34" t="str">
        <x:f>IF(AND($B144&lt;&gt;"",$G144&lt;&gt;"Done",$G144&lt;&gt;"Canceled",OR($L144="Yes",$H144&lt;=TODAY()+1,$F144="P0 Critical",$F144="P1 High",$G144="Blocked",$G144="Waiting on Others")),COUNT($R$5:R143)+1,"")</x:f>
      </x:c>
      <x:c r="S144" s="34" t="str">
        <x:f>IF(AND($B144&lt;&gt;"",$G144&lt;&gt;"Done",$G144&lt;&gt;"Canceled",OR($M144="Yes",$G144="Blocked",$G144="Waiting on Others")),COUNT($S$5:S143)+1,"")</x:f>
      </x:c>
    </x:row>
    <x:row r="145">
      <x:c r="A145" s="30"/>
      <x:c r="B145" s="30"/>
      <x:c r="C145" s="30"/>
      <x:c r="D145" s="30"/>
      <x:c r="E145" s="30"/>
      <x:c r="F145" s="30"/>
      <x:c r="G145" s="30"/>
      <x:c r="H145" s="31"/>
      <x:c r="I145" s="32"/>
      <x:c r="J145" s="33"/>
      <x:c r="K145" s="30"/>
      <x:c r="L145" s="30"/>
      <x:c r="M145" s="30"/>
      <x:c r="N145" s="30"/>
      <x:c r="O145" s="31"/>
      <x:c r="P145" s="30"/>
      <x:c r="Q145" s="30"/>
      <x:c r="R145" s="34" t="str">
        <x:f>IF(AND($B145&lt;&gt;"",$G145&lt;&gt;"Done",$G145&lt;&gt;"Canceled",OR($L145="Yes",$H145&lt;=TODAY()+1,$F145="P0 Critical",$F145="P1 High",$G145="Blocked",$G145="Waiting on Others")),COUNT($R$5:R144)+1,"")</x:f>
      </x:c>
      <x:c r="S145" s="34" t="str">
        <x:f>IF(AND($B145&lt;&gt;"",$G145&lt;&gt;"Done",$G145&lt;&gt;"Canceled",OR($M145="Yes",$G145="Blocked",$G145="Waiting on Others")),COUNT($S$5:S144)+1,"")</x:f>
      </x:c>
    </x:row>
    <x:row r="146">
      <x:c r="A146" s="30"/>
      <x:c r="B146" s="30"/>
      <x:c r="C146" s="30"/>
      <x:c r="D146" s="30"/>
      <x:c r="E146" s="30"/>
      <x:c r="F146" s="30"/>
      <x:c r="G146" s="30"/>
      <x:c r="H146" s="31"/>
      <x:c r="I146" s="32"/>
      <x:c r="J146" s="33"/>
      <x:c r="K146" s="30"/>
      <x:c r="L146" s="30"/>
      <x:c r="M146" s="30"/>
      <x:c r="N146" s="30"/>
      <x:c r="O146" s="31"/>
      <x:c r="P146" s="30"/>
      <x:c r="Q146" s="30"/>
      <x:c r="R146" s="34" t="str">
        <x:f>IF(AND($B146&lt;&gt;"",$G146&lt;&gt;"Done",$G146&lt;&gt;"Canceled",OR($L146="Yes",$H146&lt;=TODAY()+1,$F146="P0 Critical",$F146="P1 High",$G146="Blocked",$G146="Waiting on Others")),COUNT($R$5:R145)+1,"")</x:f>
      </x:c>
      <x:c r="S146" s="34" t="str">
        <x:f>IF(AND($B146&lt;&gt;"",$G146&lt;&gt;"Done",$G146&lt;&gt;"Canceled",OR($M146="Yes",$G146="Blocked",$G146="Waiting on Others")),COUNT($S$5:S145)+1,"")</x:f>
      </x:c>
    </x:row>
    <x:row r="147">
      <x:c r="A147" s="30"/>
      <x:c r="B147" s="30"/>
      <x:c r="C147" s="30"/>
      <x:c r="D147" s="30"/>
      <x:c r="E147" s="30"/>
      <x:c r="F147" s="30"/>
      <x:c r="G147" s="30"/>
      <x:c r="H147" s="31"/>
      <x:c r="I147" s="32"/>
      <x:c r="J147" s="33"/>
      <x:c r="K147" s="30"/>
      <x:c r="L147" s="30"/>
      <x:c r="M147" s="30"/>
      <x:c r="N147" s="30"/>
      <x:c r="O147" s="31"/>
      <x:c r="P147" s="30"/>
      <x:c r="Q147" s="30"/>
      <x:c r="R147" s="34" t="str">
        <x:f>IF(AND($B147&lt;&gt;"",$G147&lt;&gt;"Done",$G147&lt;&gt;"Canceled",OR($L147="Yes",$H147&lt;=TODAY()+1,$F147="P0 Critical",$F147="P1 High",$G147="Blocked",$G147="Waiting on Others")),COUNT($R$5:R146)+1,"")</x:f>
      </x:c>
      <x:c r="S147" s="34" t="str">
        <x:f>IF(AND($B147&lt;&gt;"",$G147&lt;&gt;"Done",$G147&lt;&gt;"Canceled",OR($M147="Yes",$G147="Blocked",$G147="Waiting on Others")),COUNT($S$5:S146)+1,"")</x:f>
      </x:c>
    </x:row>
    <x:row r="148">
      <x:c r="A148" s="30"/>
      <x:c r="B148" s="30"/>
      <x:c r="C148" s="30"/>
      <x:c r="D148" s="30"/>
      <x:c r="E148" s="30"/>
      <x:c r="F148" s="30"/>
      <x:c r="G148" s="30"/>
      <x:c r="H148" s="31"/>
      <x:c r="I148" s="32"/>
      <x:c r="J148" s="33"/>
      <x:c r="K148" s="30"/>
      <x:c r="L148" s="30"/>
      <x:c r="M148" s="30"/>
      <x:c r="N148" s="30"/>
      <x:c r="O148" s="31"/>
      <x:c r="P148" s="30"/>
      <x:c r="Q148" s="30"/>
      <x:c r="R148" s="34" t="str">
        <x:f>IF(AND($B148&lt;&gt;"",$G148&lt;&gt;"Done",$G148&lt;&gt;"Canceled",OR($L148="Yes",$H148&lt;=TODAY()+1,$F148="P0 Critical",$F148="P1 High",$G148="Blocked",$G148="Waiting on Others")),COUNT($R$5:R147)+1,"")</x:f>
      </x:c>
      <x:c r="S148" s="34" t="str">
        <x:f>IF(AND($B148&lt;&gt;"",$G148&lt;&gt;"Done",$G148&lt;&gt;"Canceled",OR($M148="Yes",$G148="Blocked",$G148="Waiting on Others")),COUNT($S$5:S147)+1,"")</x:f>
      </x:c>
    </x:row>
    <x:row r="149">
      <x:c r="A149" s="30"/>
      <x:c r="B149" s="30"/>
      <x:c r="C149" s="30"/>
      <x:c r="D149" s="30"/>
      <x:c r="E149" s="30"/>
      <x:c r="F149" s="30"/>
      <x:c r="G149" s="30"/>
      <x:c r="H149" s="31"/>
      <x:c r="I149" s="32"/>
      <x:c r="J149" s="33"/>
      <x:c r="K149" s="30"/>
      <x:c r="L149" s="30"/>
      <x:c r="M149" s="30"/>
      <x:c r="N149" s="30"/>
      <x:c r="O149" s="31"/>
      <x:c r="P149" s="30"/>
      <x:c r="Q149" s="30"/>
      <x:c r="R149" s="34" t="str">
        <x:f>IF(AND($B149&lt;&gt;"",$G149&lt;&gt;"Done",$G149&lt;&gt;"Canceled",OR($L149="Yes",$H149&lt;=TODAY()+1,$F149="P0 Critical",$F149="P1 High",$G149="Blocked",$G149="Waiting on Others")),COUNT($R$5:R148)+1,"")</x:f>
      </x:c>
      <x:c r="S149" s="34" t="str">
        <x:f>IF(AND($B149&lt;&gt;"",$G149&lt;&gt;"Done",$G149&lt;&gt;"Canceled",OR($M149="Yes",$G149="Blocked",$G149="Waiting on Others")),COUNT($S$5:S148)+1,"")</x:f>
      </x:c>
    </x:row>
    <x:row r="150">
      <x:c r="A150" s="30"/>
      <x:c r="B150" s="30"/>
      <x:c r="C150" s="30"/>
      <x:c r="D150" s="30"/>
      <x:c r="E150" s="30"/>
      <x:c r="F150" s="30"/>
      <x:c r="G150" s="30"/>
      <x:c r="H150" s="31"/>
      <x:c r="I150" s="32"/>
      <x:c r="J150" s="33"/>
      <x:c r="K150" s="30"/>
      <x:c r="L150" s="30"/>
      <x:c r="M150" s="30"/>
      <x:c r="N150" s="30"/>
      <x:c r="O150" s="31"/>
      <x:c r="P150" s="30"/>
      <x:c r="Q150" s="30"/>
      <x:c r="R150" s="34" t="str">
        <x:f>IF(AND($B150&lt;&gt;"",$G150&lt;&gt;"Done",$G150&lt;&gt;"Canceled",OR($L150="Yes",$H150&lt;=TODAY()+1,$F150="P0 Critical",$F150="P1 High",$G150="Blocked",$G150="Waiting on Others")),COUNT($R$5:R149)+1,"")</x:f>
      </x:c>
      <x:c r="S150" s="34" t="str">
        <x:f>IF(AND($B150&lt;&gt;"",$G150&lt;&gt;"Done",$G150&lt;&gt;"Canceled",OR($M150="Yes",$G150="Blocked",$G150="Waiting on Others")),COUNT($S$5:S149)+1,"")</x:f>
      </x:c>
    </x:row>
    <x:row r="151">
      <x:c r="A151" s="30"/>
      <x:c r="B151" s="30"/>
      <x:c r="C151" s="30"/>
      <x:c r="D151" s="30"/>
      <x:c r="E151" s="30"/>
      <x:c r="F151" s="30"/>
      <x:c r="G151" s="30"/>
      <x:c r="H151" s="31"/>
      <x:c r="I151" s="32"/>
      <x:c r="J151" s="33"/>
      <x:c r="K151" s="30"/>
      <x:c r="L151" s="30"/>
      <x:c r="M151" s="30"/>
      <x:c r="N151" s="30"/>
      <x:c r="O151" s="31"/>
      <x:c r="P151" s="30"/>
      <x:c r="Q151" s="30"/>
      <x:c r="R151" s="34" t="str">
        <x:f>IF(AND($B151&lt;&gt;"",$G151&lt;&gt;"Done",$G151&lt;&gt;"Canceled",OR($L151="Yes",$H151&lt;=TODAY()+1,$F151="P0 Critical",$F151="P1 High",$G151="Blocked",$G151="Waiting on Others")),COUNT($R$5:R150)+1,"")</x:f>
      </x:c>
      <x:c r="S151" s="34" t="str">
        <x:f>IF(AND($B151&lt;&gt;"",$G151&lt;&gt;"Done",$G151&lt;&gt;"Canceled",OR($M151="Yes",$G151="Blocked",$G151="Waiting on Others")),COUNT($S$5:S150)+1,"")</x:f>
      </x:c>
    </x:row>
    <x:row r="152">
      <x:c r="A152" s="30"/>
      <x:c r="B152" s="30"/>
      <x:c r="C152" s="30"/>
      <x:c r="D152" s="30"/>
      <x:c r="E152" s="30"/>
      <x:c r="F152" s="30"/>
      <x:c r="G152" s="30"/>
      <x:c r="H152" s="31"/>
      <x:c r="I152" s="32"/>
      <x:c r="J152" s="33"/>
      <x:c r="K152" s="30"/>
      <x:c r="L152" s="30"/>
      <x:c r="M152" s="30"/>
      <x:c r="N152" s="30"/>
      <x:c r="O152" s="31"/>
      <x:c r="P152" s="30"/>
      <x:c r="Q152" s="30"/>
      <x:c r="R152" s="34" t="str">
        <x:f>IF(AND($B152&lt;&gt;"",$G152&lt;&gt;"Done",$G152&lt;&gt;"Canceled",OR($L152="Yes",$H152&lt;=TODAY()+1,$F152="P0 Critical",$F152="P1 High",$G152="Blocked",$G152="Waiting on Others")),COUNT($R$5:R151)+1,"")</x:f>
      </x:c>
      <x:c r="S152" s="34" t="str">
        <x:f>IF(AND($B152&lt;&gt;"",$G152&lt;&gt;"Done",$G152&lt;&gt;"Canceled",OR($M152="Yes",$G152="Blocked",$G152="Waiting on Others")),COUNT($S$5:S151)+1,"")</x:f>
      </x:c>
    </x:row>
    <x:row r="153">
      <x:c r="A153" s="30"/>
      <x:c r="B153" s="30"/>
      <x:c r="C153" s="30"/>
      <x:c r="D153" s="30"/>
      <x:c r="E153" s="30"/>
      <x:c r="F153" s="30"/>
      <x:c r="G153" s="30"/>
      <x:c r="H153" s="31"/>
      <x:c r="I153" s="32"/>
      <x:c r="J153" s="33"/>
      <x:c r="K153" s="30"/>
      <x:c r="L153" s="30"/>
      <x:c r="M153" s="30"/>
      <x:c r="N153" s="30"/>
      <x:c r="O153" s="31"/>
      <x:c r="P153" s="30"/>
      <x:c r="Q153" s="30"/>
      <x:c r="R153" s="34" t="str">
        <x:f>IF(AND($B153&lt;&gt;"",$G153&lt;&gt;"Done",$G153&lt;&gt;"Canceled",OR($L153="Yes",$H153&lt;=TODAY()+1,$F153="P0 Critical",$F153="P1 High",$G153="Blocked",$G153="Waiting on Others")),COUNT($R$5:R152)+1,"")</x:f>
      </x:c>
      <x:c r="S153" s="34" t="str">
        <x:f>IF(AND($B153&lt;&gt;"",$G153&lt;&gt;"Done",$G153&lt;&gt;"Canceled",OR($M153="Yes",$G153="Blocked",$G153="Waiting on Others")),COUNT($S$5:S152)+1,"")</x:f>
      </x:c>
    </x:row>
    <x:row r="154">
      <x:c r="A154" s="30"/>
      <x:c r="B154" s="30"/>
      <x:c r="C154" s="30"/>
      <x:c r="D154" s="30"/>
      <x:c r="E154" s="30"/>
      <x:c r="F154" s="30"/>
      <x:c r="G154" s="30"/>
      <x:c r="H154" s="31"/>
      <x:c r="I154" s="32"/>
      <x:c r="J154" s="33"/>
      <x:c r="K154" s="30"/>
      <x:c r="L154" s="30"/>
      <x:c r="M154" s="30"/>
      <x:c r="N154" s="30"/>
      <x:c r="O154" s="31"/>
      <x:c r="P154" s="30"/>
      <x:c r="Q154" s="30"/>
      <x:c r="R154" s="34" t="str">
        <x:f>IF(AND($B154&lt;&gt;"",$G154&lt;&gt;"Done",$G154&lt;&gt;"Canceled",OR($L154="Yes",$H154&lt;=TODAY()+1,$F154="P0 Critical",$F154="P1 High",$G154="Blocked",$G154="Waiting on Others")),COUNT($R$5:R153)+1,"")</x:f>
      </x:c>
      <x:c r="S154" s="34" t="str">
        <x:f>IF(AND($B154&lt;&gt;"",$G154&lt;&gt;"Done",$G154&lt;&gt;"Canceled",OR($M154="Yes",$G154="Blocked",$G154="Waiting on Others")),COUNT($S$5:S153)+1,"")</x:f>
      </x:c>
    </x:row>
    <x:row r="155">
      <x:c r="A155" s="30"/>
      <x:c r="B155" s="30"/>
      <x:c r="C155" s="30"/>
      <x:c r="D155" s="30"/>
      <x:c r="E155" s="30"/>
      <x:c r="F155" s="30"/>
      <x:c r="G155" s="30"/>
      <x:c r="H155" s="31"/>
      <x:c r="I155" s="32"/>
      <x:c r="J155" s="33"/>
      <x:c r="K155" s="30"/>
      <x:c r="L155" s="30"/>
      <x:c r="M155" s="30"/>
      <x:c r="N155" s="30"/>
      <x:c r="O155" s="31"/>
      <x:c r="P155" s="30"/>
      <x:c r="Q155" s="30"/>
      <x:c r="R155" s="34" t="str">
        <x:f>IF(AND($B155&lt;&gt;"",$G155&lt;&gt;"Done",$G155&lt;&gt;"Canceled",OR($L155="Yes",$H155&lt;=TODAY()+1,$F155="P0 Critical",$F155="P1 High",$G155="Blocked",$G155="Waiting on Others")),COUNT($R$5:R154)+1,"")</x:f>
      </x:c>
      <x:c r="S155" s="34" t="str">
        <x:f>IF(AND($B155&lt;&gt;"",$G155&lt;&gt;"Done",$G155&lt;&gt;"Canceled",OR($M155="Yes",$G155="Blocked",$G155="Waiting on Others")),COUNT($S$5:S154)+1,"")</x:f>
      </x:c>
    </x:row>
    <x:row r="156">
      <x:c r="A156" s="30"/>
      <x:c r="B156" s="30"/>
      <x:c r="C156" s="30"/>
      <x:c r="D156" s="30"/>
      <x:c r="E156" s="30"/>
      <x:c r="F156" s="30"/>
      <x:c r="G156" s="30"/>
      <x:c r="H156" s="31"/>
      <x:c r="I156" s="32"/>
      <x:c r="J156" s="33"/>
      <x:c r="K156" s="30"/>
      <x:c r="L156" s="30"/>
      <x:c r="M156" s="30"/>
      <x:c r="N156" s="30"/>
      <x:c r="O156" s="31"/>
      <x:c r="P156" s="30"/>
      <x:c r="Q156" s="30"/>
      <x:c r="R156" s="34" t="str">
        <x:f>IF(AND($B156&lt;&gt;"",$G156&lt;&gt;"Done",$G156&lt;&gt;"Canceled",OR($L156="Yes",$H156&lt;=TODAY()+1,$F156="P0 Critical",$F156="P1 High",$G156="Blocked",$G156="Waiting on Others")),COUNT($R$5:R155)+1,"")</x:f>
      </x:c>
      <x:c r="S156" s="34" t="str">
        <x:f>IF(AND($B156&lt;&gt;"",$G156&lt;&gt;"Done",$G156&lt;&gt;"Canceled",OR($M156="Yes",$G156="Blocked",$G156="Waiting on Others")),COUNT($S$5:S155)+1,"")</x:f>
      </x:c>
    </x:row>
    <x:row r="157">
      <x:c r="A157" s="30"/>
      <x:c r="B157" s="30"/>
      <x:c r="C157" s="30"/>
      <x:c r="D157" s="30"/>
      <x:c r="E157" s="30"/>
      <x:c r="F157" s="30"/>
      <x:c r="G157" s="30"/>
      <x:c r="H157" s="31"/>
      <x:c r="I157" s="32"/>
      <x:c r="J157" s="33"/>
      <x:c r="K157" s="30"/>
      <x:c r="L157" s="30"/>
      <x:c r="M157" s="30"/>
      <x:c r="N157" s="30"/>
      <x:c r="O157" s="31"/>
      <x:c r="P157" s="30"/>
      <x:c r="Q157" s="30"/>
      <x:c r="R157" s="34" t="str">
        <x:f>IF(AND($B157&lt;&gt;"",$G157&lt;&gt;"Done",$G157&lt;&gt;"Canceled",OR($L157="Yes",$H157&lt;=TODAY()+1,$F157="P0 Critical",$F157="P1 High",$G157="Blocked",$G157="Waiting on Others")),COUNT($R$5:R156)+1,"")</x:f>
      </x:c>
      <x:c r="S157" s="34" t="str">
        <x:f>IF(AND($B157&lt;&gt;"",$G157&lt;&gt;"Done",$G157&lt;&gt;"Canceled",OR($M157="Yes",$G157="Blocked",$G157="Waiting on Others")),COUNT($S$5:S156)+1,"")</x:f>
      </x:c>
    </x:row>
    <x:row r="158">
      <x:c r="A158" s="30"/>
      <x:c r="B158" s="30"/>
      <x:c r="C158" s="30"/>
      <x:c r="D158" s="30"/>
      <x:c r="E158" s="30"/>
      <x:c r="F158" s="30"/>
      <x:c r="G158" s="30"/>
      <x:c r="H158" s="31"/>
      <x:c r="I158" s="32"/>
      <x:c r="J158" s="33"/>
      <x:c r="K158" s="30"/>
      <x:c r="L158" s="30"/>
      <x:c r="M158" s="30"/>
      <x:c r="N158" s="30"/>
      <x:c r="O158" s="31"/>
      <x:c r="P158" s="30"/>
      <x:c r="Q158" s="30"/>
      <x:c r="R158" s="34" t="str">
        <x:f>IF(AND($B158&lt;&gt;"",$G158&lt;&gt;"Done",$G158&lt;&gt;"Canceled",OR($L158="Yes",$H158&lt;=TODAY()+1,$F158="P0 Critical",$F158="P1 High",$G158="Blocked",$G158="Waiting on Others")),COUNT($R$5:R157)+1,"")</x:f>
      </x:c>
      <x:c r="S158" s="34" t="str">
        <x:f>IF(AND($B158&lt;&gt;"",$G158&lt;&gt;"Done",$G158&lt;&gt;"Canceled",OR($M158="Yes",$G158="Blocked",$G158="Waiting on Others")),COUNT($S$5:S157)+1,"")</x:f>
      </x:c>
    </x:row>
    <x:row r="159">
      <x:c r="A159" s="30"/>
      <x:c r="B159" s="30"/>
      <x:c r="C159" s="30"/>
      <x:c r="D159" s="30"/>
      <x:c r="E159" s="30"/>
      <x:c r="F159" s="30"/>
      <x:c r="G159" s="30"/>
      <x:c r="H159" s="31"/>
      <x:c r="I159" s="32"/>
      <x:c r="J159" s="33"/>
      <x:c r="K159" s="30"/>
      <x:c r="L159" s="30"/>
      <x:c r="M159" s="30"/>
      <x:c r="N159" s="30"/>
      <x:c r="O159" s="31"/>
      <x:c r="P159" s="30"/>
      <x:c r="Q159" s="30"/>
      <x:c r="R159" s="34" t="str">
        <x:f>IF(AND($B159&lt;&gt;"",$G159&lt;&gt;"Done",$G159&lt;&gt;"Canceled",OR($L159="Yes",$H159&lt;=TODAY()+1,$F159="P0 Critical",$F159="P1 High",$G159="Blocked",$G159="Waiting on Others")),COUNT($R$5:R158)+1,"")</x:f>
      </x:c>
      <x:c r="S159" s="34" t="str">
        <x:f>IF(AND($B159&lt;&gt;"",$G159&lt;&gt;"Done",$G159&lt;&gt;"Canceled",OR($M159="Yes",$G159="Blocked",$G159="Waiting on Others")),COUNT($S$5:S158)+1,"")</x:f>
      </x:c>
    </x:row>
    <x:row r="160">
      <x:c r="A160" s="30"/>
      <x:c r="B160" s="30"/>
      <x:c r="C160" s="30"/>
      <x:c r="D160" s="30"/>
      <x:c r="E160" s="30"/>
      <x:c r="F160" s="30"/>
      <x:c r="G160" s="30"/>
      <x:c r="H160" s="31"/>
      <x:c r="I160" s="32"/>
      <x:c r="J160" s="33"/>
      <x:c r="K160" s="30"/>
      <x:c r="L160" s="30"/>
      <x:c r="M160" s="30"/>
      <x:c r="N160" s="30"/>
      <x:c r="O160" s="31"/>
      <x:c r="P160" s="30"/>
      <x:c r="Q160" s="30"/>
      <x:c r="R160" s="34" t="str">
        <x:f>IF(AND($B160&lt;&gt;"",$G160&lt;&gt;"Done",$G160&lt;&gt;"Canceled",OR($L160="Yes",$H160&lt;=TODAY()+1,$F160="P0 Critical",$F160="P1 High",$G160="Blocked",$G160="Waiting on Others")),COUNT($R$5:R159)+1,"")</x:f>
      </x:c>
      <x:c r="S160" s="34" t="str">
        <x:f>IF(AND($B160&lt;&gt;"",$G160&lt;&gt;"Done",$G160&lt;&gt;"Canceled",OR($M160="Yes",$G160="Blocked",$G160="Waiting on Others")),COUNT($S$5:S159)+1,"")</x:f>
      </x:c>
    </x:row>
    <x:row r="161">
      <x:c r="A161" s="30"/>
      <x:c r="B161" s="30"/>
      <x:c r="C161" s="30"/>
      <x:c r="D161" s="30"/>
      <x:c r="E161" s="30"/>
      <x:c r="F161" s="30"/>
      <x:c r="G161" s="30"/>
      <x:c r="H161" s="31"/>
      <x:c r="I161" s="32"/>
      <x:c r="J161" s="33"/>
      <x:c r="K161" s="30"/>
      <x:c r="L161" s="30"/>
      <x:c r="M161" s="30"/>
      <x:c r="N161" s="30"/>
      <x:c r="O161" s="31"/>
      <x:c r="P161" s="30"/>
      <x:c r="Q161" s="30"/>
      <x:c r="R161" s="34" t="str">
        <x:f>IF(AND($B161&lt;&gt;"",$G161&lt;&gt;"Done",$G161&lt;&gt;"Canceled",OR($L161="Yes",$H161&lt;=TODAY()+1,$F161="P0 Critical",$F161="P1 High",$G161="Blocked",$G161="Waiting on Others")),COUNT($R$5:R160)+1,"")</x:f>
      </x:c>
      <x:c r="S161" s="34" t="str">
        <x:f>IF(AND($B161&lt;&gt;"",$G161&lt;&gt;"Done",$G161&lt;&gt;"Canceled",OR($M161="Yes",$G161="Blocked",$G161="Waiting on Others")),COUNT($S$5:S160)+1,"")</x:f>
      </x:c>
    </x:row>
    <x:row r="162">
      <x:c r="A162" s="30"/>
      <x:c r="B162" s="30"/>
      <x:c r="C162" s="30"/>
      <x:c r="D162" s="30"/>
      <x:c r="E162" s="30"/>
      <x:c r="F162" s="30"/>
      <x:c r="G162" s="30"/>
      <x:c r="H162" s="31"/>
      <x:c r="I162" s="32"/>
      <x:c r="J162" s="33"/>
      <x:c r="K162" s="30"/>
      <x:c r="L162" s="30"/>
      <x:c r="M162" s="30"/>
      <x:c r="N162" s="30"/>
      <x:c r="O162" s="31"/>
      <x:c r="P162" s="30"/>
      <x:c r="Q162" s="30"/>
      <x:c r="R162" s="34" t="str">
        <x:f>IF(AND($B162&lt;&gt;"",$G162&lt;&gt;"Done",$G162&lt;&gt;"Canceled",OR($L162="Yes",$H162&lt;=TODAY()+1,$F162="P0 Critical",$F162="P1 High",$G162="Blocked",$G162="Waiting on Others")),COUNT($R$5:R161)+1,"")</x:f>
      </x:c>
      <x:c r="S162" s="34" t="str">
        <x:f>IF(AND($B162&lt;&gt;"",$G162&lt;&gt;"Done",$G162&lt;&gt;"Canceled",OR($M162="Yes",$G162="Blocked",$G162="Waiting on Others")),COUNT($S$5:S161)+1,"")</x:f>
      </x:c>
    </x:row>
    <x:row r="163">
      <x:c r="A163" s="30"/>
      <x:c r="B163" s="30"/>
      <x:c r="C163" s="30"/>
      <x:c r="D163" s="30"/>
      <x:c r="E163" s="30"/>
      <x:c r="F163" s="30"/>
      <x:c r="G163" s="30"/>
      <x:c r="H163" s="31"/>
      <x:c r="I163" s="32"/>
      <x:c r="J163" s="33"/>
      <x:c r="K163" s="30"/>
      <x:c r="L163" s="30"/>
      <x:c r="M163" s="30"/>
      <x:c r="N163" s="30"/>
      <x:c r="O163" s="31"/>
      <x:c r="P163" s="30"/>
      <x:c r="Q163" s="30"/>
      <x:c r="R163" s="34" t="str">
        <x:f>IF(AND($B163&lt;&gt;"",$G163&lt;&gt;"Done",$G163&lt;&gt;"Canceled",OR($L163="Yes",$H163&lt;=TODAY()+1,$F163="P0 Critical",$F163="P1 High",$G163="Blocked",$G163="Waiting on Others")),COUNT($R$5:R162)+1,"")</x:f>
      </x:c>
      <x:c r="S163" s="34" t="str">
        <x:f>IF(AND($B163&lt;&gt;"",$G163&lt;&gt;"Done",$G163&lt;&gt;"Canceled",OR($M163="Yes",$G163="Blocked",$G163="Waiting on Others")),COUNT($S$5:S162)+1,"")</x:f>
      </x:c>
    </x:row>
    <x:row r="164">
      <x:c r="A164" s="30"/>
      <x:c r="B164" s="30"/>
      <x:c r="C164" s="30"/>
      <x:c r="D164" s="30"/>
      <x:c r="E164" s="30"/>
      <x:c r="F164" s="30"/>
      <x:c r="G164" s="30"/>
      <x:c r="H164" s="31"/>
      <x:c r="I164" s="32"/>
      <x:c r="J164" s="33"/>
      <x:c r="K164" s="30"/>
      <x:c r="L164" s="30"/>
      <x:c r="M164" s="30"/>
      <x:c r="N164" s="30"/>
      <x:c r="O164" s="31"/>
      <x:c r="P164" s="30"/>
      <x:c r="Q164" s="30"/>
      <x:c r="R164" s="34" t="str">
        <x:f>IF(AND($B164&lt;&gt;"",$G164&lt;&gt;"Done",$G164&lt;&gt;"Canceled",OR($L164="Yes",$H164&lt;=TODAY()+1,$F164="P0 Critical",$F164="P1 High",$G164="Blocked",$G164="Waiting on Others")),COUNT($R$5:R163)+1,"")</x:f>
      </x:c>
      <x:c r="S164" s="34" t="str">
        <x:f>IF(AND($B164&lt;&gt;"",$G164&lt;&gt;"Done",$G164&lt;&gt;"Canceled",OR($M164="Yes",$G164="Blocked",$G164="Waiting on Others")),COUNT($S$5:S163)+1,"")</x:f>
      </x:c>
    </x:row>
    <x:row r="165">
      <x:c r="A165" s="30"/>
      <x:c r="B165" s="30"/>
      <x:c r="C165" s="30"/>
      <x:c r="D165" s="30"/>
      <x:c r="E165" s="30"/>
      <x:c r="F165" s="30"/>
      <x:c r="G165" s="30"/>
      <x:c r="H165" s="31"/>
      <x:c r="I165" s="32"/>
      <x:c r="J165" s="33"/>
      <x:c r="K165" s="30"/>
      <x:c r="L165" s="30"/>
      <x:c r="M165" s="30"/>
      <x:c r="N165" s="30"/>
      <x:c r="O165" s="31"/>
      <x:c r="P165" s="30"/>
      <x:c r="Q165" s="30"/>
      <x:c r="R165" s="34" t="str">
        <x:f>IF(AND($B165&lt;&gt;"",$G165&lt;&gt;"Done",$G165&lt;&gt;"Canceled",OR($L165="Yes",$H165&lt;=TODAY()+1,$F165="P0 Critical",$F165="P1 High",$G165="Blocked",$G165="Waiting on Others")),COUNT($R$5:R164)+1,"")</x:f>
      </x:c>
      <x:c r="S165" s="34" t="str">
        <x:f>IF(AND($B165&lt;&gt;"",$G165&lt;&gt;"Done",$G165&lt;&gt;"Canceled",OR($M165="Yes",$G165="Blocked",$G165="Waiting on Others")),COUNT($S$5:S164)+1,"")</x:f>
      </x:c>
    </x:row>
    <x:row r="166">
      <x:c r="A166" s="30"/>
      <x:c r="B166" s="30"/>
      <x:c r="C166" s="30"/>
      <x:c r="D166" s="30"/>
      <x:c r="E166" s="30"/>
      <x:c r="F166" s="30"/>
      <x:c r="G166" s="30"/>
      <x:c r="H166" s="31"/>
      <x:c r="I166" s="32"/>
      <x:c r="J166" s="33"/>
      <x:c r="K166" s="30"/>
      <x:c r="L166" s="30"/>
      <x:c r="M166" s="30"/>
      <x:c r="N166" s="30"/>
      <x:c r="O166" s="31"/>
      <x:c r="P166" s="30"/>
      <x:c r="Q166" s="30"/>
      <x:c r="R166" s="34" t="str">
        <x:f>IF(AND($B166&lt;&gt;"",$G166&lt;&gt;"Done",$G166&lt;&gt;"Canceled",OR($L166="Yes",$H166&lt;=TODAY()+1,$F166="P0 Critical",$F166="P1 High",$G166="Blocked",$G166="Waiting on Others")),COUNT($R$5:R165)+1,"")</x:f>
      </x:c>
      <x:c r="S166" s="34" t="str">
        <x:f>IF(AND($B166&lt;&gt;"",$G166&lt;&gt;"Done",$G166&lt;&gt;"Canceled",OR($M166="Yes",$G166="Blocked",$G166="Waiting on Others")),COUNT($S$5:S165)+1,"")</x:f>
      </x:c>
    </x:row>
    <x:row r="167">
      <x:c r="A167" s="30"/>
      <x:c r="B167" s="30"/>
      <x:c r="C167" s="30"/>
      <x:c r="D167" s="30"/>
      <x:c r="E167" s="30"/>
      <x:c r="F167" s="30"/>
      <x:c r="G167" s="30"/>
      <x:c r="H167" s="31"/>
      <x:c r="I167" s="32"/>
      <x:c r="J167" s="33"/>
      <x:c r="K167" s="30"/>
      <x:c r="L167" s="30"/>
      <x:c r="M167" s="30"/>
      <x:c r="N167" s="30"/>
      <x:c r="O167" s="31"/>
      <x:c r="P167" s="30"/>
      <x:c r="Q167" s="30"/>
      <x:c r="R167" s="34" t="str">
        <x:f>IF(AND($B167&lt;&gt;"",$G167&lt;&gt;"Done",$G167&lt;&gt;"Canceled",OR($L167="Yes",$H167&lt;=TODAY()+1,$F167="P0 Critical",$F167="P1 High",$G167="Blocked",$G167="Waiting on Others")),COUNT($R$5:R166)+1,"")</x:f>
      </x:c>
      <x:c r="S167" s="34" t="str">
        <x:f>IF(AND($B167&lt;&gt;"",$G167&lt;&gt;"Done",$G167&lt;&gt;"Canceled",OR($M167="Yes",$G167="Blocked",$G167="Waiting on Others")),COUNT($S$5:S166)+1,"")</x:f>
      </x:c>
    </x:row>
    <x:row r="168">
      <x:c r="A168" s="30"/>
      <x:c r="B168" s="30"/>
      <x:c r="C168" s="30"/>
      <x:c r="D168" s="30"/>
      <x:c r="E168" s="30"/>
      <x:c r="F168" s="30"/>
      <x:c r="G168" s="30"/>
      <x:c r="H168" s="31"/>
      <x:c r="I168" s="32"/>
      <x:c r="J168" s="33"/>
      <x:c r="K168" s="30"/>
      <x:c r="L168" s="30"/>
      <x:c r="M168" s="30"/>
      <x:c r="N168" s="30"/>
      <x:c r="O168" s="31"/>
      <x:c r="P168" s="30"/>
      <x:c r="Q168" s="30"/>
      <x:c r="R168" s="34" t="str">
        <x:f>IF(AND($B168&lt;&gt;"",$G168&lt;&gt;"Done",$G168&lt;&gt;"Canceled",OR($L168="Yes",$H168&lt;=TODAY()+1,$F168="P0 Critical",$F168="P1 High",$G168="Blocked",$G168="Waiting on Others")),COUNT($R$5:R167)+1,"")</x:f>
      </x:c>
      <x:c r="S168" s="34" t="str">
        <x:f>IF(AND($B168&lt;&gt;"",$G168&lt;&gt;"Done",$G168&lt;&gt;"Canceled",OR($M168="Yes",$G168="Blocked",$G168="Waiting on Others")),COUNT($S$5:S167)+1,"")</x:f>
      </x:c>
    </x:row>
    <x:row r="169">
      <x:c r="A169" s="30"/>
      <x:c r="B169" s="30"/>
      <x:c r="C169" s="30"/>
      <x:c r="D169" s="30"/>
      <x:c r="E169" s="30"/>
      <x:c r="F169" s="30"/>
      <x:c r="G169" s="30"/>
      <x:c r="H169" s="31"/>
      <x:c r="I169" s="32"/>
      <x:c r="J169" s="33"/>
      <x:c r="K169" s="30"/>
      <x:c r="L169" s="30"/>
      <x:c r="M169" s="30"/>
      <x:c r="N169" s="30"/>
      <x:c r="O169" s="31"/>
      <x:c r="P169" s="30"/>
      <x:c r="Q169" s="30"/>
      <x:c r="R169" s="34" t="str">
        <x:f>IF(AND($B169&lt;&gt;"",$G169&lt;&gt;"Done",$G169&lt;&gt;"Canceled",OR($L169="Yes",$H169&lt;=TODAY()+1,$F169="P0 Critical",$F169="P1 High",$G169="Blocked",$G169="Waiting on Others")),COUNT($R$5:R168)+1,"")</x:f>
      </x:c>
      <x:c r="S169" s="34" t="str">
        <x:f>IF(AND($B169&lt;&gt;"",$G169&lt;&gt;"Done",$G169&lt;&gt;"Canceled",OR($M169="Yes",$G169="Blocked",$G169="Waiting on Others")),COUNT($S$5:S168)+1,"")</x:f>
      </x:c>
    </x:row>
    <x:row r="170">
      <x:c r="A170" s="30"/>
      <x:c r="B170" s="30"/>
      <x:c r="C170" s="30"/>
      <x:c r="D170" s="30"/>
      <x:c r="E170" s="30"/>
      <x:c r="F170" s="30"/>
      <x:c r="G170" s="30"/>
      <x:c r="H170" s="31"/>
      <x:c r="I170" s="32"/>
      <x:c r="J170" s="33"/>
      <x:c r="K170" s="30"/>
      <x:c r="L170" s="30"/>
      <x:c r="M170" s="30"/>
      <x:c r="N170" s="30"/>
      <x:c r="O170" s="31"/>
      <x:c r="P170" s="30"/>
      <x:c r="Q170" s="30"/>
      <x:c r="R170" s="34" t="str">
        <x:f>IF(AND($B170&lt;&gt;"",$G170&lt;&gt;"Done",$G170&lt;&gt;"Canceled",OR($L170="Yes",$H170&lt;=TODAY()+1,$F170="P0 Critical",$F170="P1 High",$G170="Blocked",$G170="Waiting on Others")),COUNT($R$5:R169)+1,"")</x:f>
      </x:c>
      <x:c r="S170" s="34" t="str">
        <x:f>IF(AND($B170&lt;&gt;"",$G170&lt;&gt;"Done",$G170&lt;&gt;"Canceled",OR($M170="Yes",$G170="Blocked",$G170="Waiting on Others")),COUNT($S$5:S169)+1,"")</x:f>
      </x:c>
    </x:row>
    <x:row r="171">
      <x:c r="A171" s="30"/>
      <x:c r="B171" s="30"/>
      <x:c r="C171" s="30"/>
      <x:c r="D171" s="30"/>
      <x:c r="E171" s="30"/>
      <x:c r="F171" s="30"/>
      <x:c r="G171" s="30"/>
      <x:c r="H171" s="31"/>
      <x:c r="I171" s="32"/>
      <x:c r="J171" s="33"/>
      <x:c r="K171" s="30"/>
      <x:c r="L171" s="30"/>
      <x:c r="M171" s="30"/>
      <x:c r="N171" s="30"/>
      <x:c r="O171" s="31"/>
      <x:c r="P171" s="30"/>
      <x:c r="Q171" s="30"/>
      <x:c r="R171" s="34" t="str">
        <x:f>IF(AND($B171&lt;&gt;"",$G171&lt;&gt;"Done",$G171&lt;&gt;"Canceled",OR($L171="Yes",$H171&lt;=TODAY()+1,$F171="P0 Critical",$F171="P1 High",$G171="Blocked",$G171="Waiting on Others")),COUNT($R$5:R170)+1,"")</x:f>
      </x:c>
      <x:c r="S171" s="34" t="str">
        <x:f>IF(AND($B171&lt;&gt;"",$G171&lt;&gt;"Done",$G171&lt;&gt;"Canceled",OR($M171="Yes",$G171="Blocked",$G171="Waiting on Others")),COUNT($S$5:S170)+1,"")</x:f>
      </x:c>
    </x:row>
    <x:row r="172">
      <x:c r="A172" s="30"/>
      <x:c r="B172" s="30"/>
      <x:c r="C172" s="30"/>
      <x:c r="D172" s="30"/>
      <x:c r="E172" s="30"/>
      <x:c r="F172" s="30"/>
      <x:c r="G172" s="30"/>
      <x:c r="H172" s="31"/>
      <x:c r="I172" s="32"/>
      <x:c r="J172" s="33"/>
      <x:c r="K172" s="30"/>
      <x:c r="L172" s="30"/>
      <x:c r="M172" s="30"/>
      <x:c r="N172" s="30"/>
      <x:c r="O172" s="31"/>
      <x:c r="P172" s="30"/>
      <x:c r="Q172" s="30"/>
      <x:c r="R172" s="34" t="str">
        <x:f>IF(AND($B172&lt;&gt;"",$G172&lt;&gt;"Done",$G172&lt;&gt;"Canceled",OR($L172="Yes",$H172&lt;=TODAY()+1,$F172="P0 Critical",$F172="P1 High",$G172="Blocked",$G172="Waiting on Others")),COUNT($R$5:R171)+1,"")</x:f>
      </x:c>
      <x:c r="S172" s="34" t="str">
        <x:f>IF(AND($B172&lt;&gt;"",$G172&lt;&gt;"Done",$G172&lt;&gt;"Canceled",OR($M172="Yes",$G172="Blocked",$G172="Waiting on Others")),COUNT($S$5:S171)+1,"")</x:f>
      </x:c>
    </x:row>
    <x:row r="173">
      <x:c r="A173" s="30"/>
      <x:c r="B173" s="30"/>
      <x:c r="C173" s="30"/>
      <x:c r="D173" s="30"/>
      <x:c r="E173" s="30"/>
      <x:c r="F173" s="30"/>
      <x:c r="G173" s="30"/>
      <x:c r="H173" s="31"/>
      <x:c r="I173" s="32"/>
      <x:c r="J173" s="33"/>
      <x:c r="K173" s="30"/>
      <x:c r="L173" s="30"/>
      <x:c r="M173" s="30"/>
      <x:c r="N173" s="30"/>
      <x:c r="O173" s="31"/>
      <x:c r="P173" s="30"/>
      <x:c r="Q173" s="30"/>
      <x:c r="R173" s="34" t="str">
        <x:f>IF(AND($B173&lt;&gt;"",$G173&lt;&gt;"Done",$G173&lt;&gt;"Canceled",OR($L173="Yes",$H173&lt;=TODAY()+1,$F173="P0 Critical",$F173="P1 High",$G173="Blocked",$G173="Waiting on Others")),COUNT($R$5:R172)+1,"")</x:f>
      </x:c>
      <x:c r="S173" s="34" t="str">
        <x:f>IF(AND($B173&lt;&gt;"",$G173&lt;&gt;"Done",$G173&lt;&gt;"Canceled",OR($M173="Yes",$G173="Blocked",$G173="Waiting on Others")),COUNT($S$5:S172)+1,"")</x:f>
      </x:c>
    </x:row>
    <x:row r="174">
      <x:c r="A174" s="30"/>
      <x:c r="B174" s="30"/>
      <x:c r="C174" s="30"/>
      <x:c r="D174" s="30"/>
      <x:c r="E174" s="30"/>
      <x:c r="F174" s="30"/>
      <x:c r="G174" s="30"/>
      <x:c r="H174" s="31"/>
      <x:c r="I174" s="32"/>
      <x:c r="J174" s="33"/>
      <x:c r="K174" s="30"/>
      <x:c r="L174" s="30"/>
      <x:c r="M174" s="30"/>
      <x:c r="N174" s="30"/>
      <x:c r="O174" s="31"/>
      <x:c r="P174" s="30"/>
      <x:c r="Q174" s="30"/>
      <x:c r="R174" s="34" t="str">
        <x:f>IF(AND($B174&lt;&gt;"",$G174&lt;&gt;"Done",$G174&lt;&gt;"Canceled",OR($L174="Yes",$H174&lt;=TODAY()+1,$F174="P0 Critical",$F174="P1 High",$G174="Blocked",$G174="Waiting on Others")),COUNT($R$5:R173)+1,"")</x:f>
      </x:c>
      <x:c r="S174" s="34" t="str">
        <x:f>IF(AND($B174&lt;&gt;"",$G174&lt;&gt;"Done",$G174&lt;&gt;"Canceled",OR($M174="Yes",$G174="Blocked",$G174="Waiting on Others")),COUNT($S$5:S173)+1,"")</x:f>
      </x:c>
    </x:row>
    <x:row r="175">
      <x:c r="A175" s="30"/>
      <x:c r="B175" s="30"/>
      <x:c r="C175" s="30"/>
      <x:c r="D175" s="30"/>
      <x:c r="E175" s="30"/>
      <x:c r="F175" s="30"/>
      <x:c r="G175" s="30"/>
      <x:c r="H175" s="31"/>
      <x:c r="I175" s="32"/>
      <x:c r="J175" s="33"/>
      <x:c r="K175" s="30"/>
      <x:c r="L175" s="30"/>
      <x:c r="M175" s="30"/>
      <x:c r="N175" s="30"/>
      <x:c r="O175" s="31"/>
      <x:c r="P175" s="30"/>
      <x:c r="Q175" s="30"/>
      <x:c r="R175" s="34" t="str">
        <x:f>IF(AND($B175&lt;&gt;"",$G175&lt;&gt;"Done",$G175&lt;&gt;"Canceled",OR($L175="Yes",$H175&lt;=TODAY()+1,$F175="P0 Critical",$F175="P1 High",$G175="Blocked",$G175="Waiting on Others")),COUNT($R$5:R174)+1,"")</x:f>
      </x:c>
      <x:c r="S175" s="34" t="str">
        <x:f>IF(AND($B175&lt;&gt;"",$G175&lt;&gt;"Done",$G175&lt;&gt;"Canceled",OR($M175="Yes",$G175="Blocked",$G175="Waiting on Others")),COUNT($S$5:S174)+1,"")</x:f>
      </x:c>
    </x:row>
    <x:row r="176">
      <x:c r="A176" s="30"/>
      <x:c r="B176" s="30"/>
      <x:c r="C176" s="30"/>
      <x:c r="D176" s="30"/>
      <x:c r="E176" s="30"/>
      <x:c r="F176" s="30"/>
      <x:c r="G176" s="30"/>
      <x:c r="H176" s="31"/>
      <x:c r="I176" s="32"/>
      <x:c r="J176" s="33"/>
      <x:c r="K176" s="30"/>
      <x:c r="L176" s="30"/>
      <x:c r="M176" s="30"/>
      <x:c r="N176" s="30"/>
      <x:c r="O176" s="31"/>
      <x:c r="P176" s="30"/>
      <x:c r="Q176" s="30"/>
      <x:c r="R176" s="34" t="str">
        <x:f>IF(AND($B176&lt;&gt;"",$G176&lt;&gt;"Done",$G176&lt;&gt;"Canceled",OR($L176="Yes",$H176&lt;=TODAY()+1,$F176="P0 Critical",$F176="P1 High",$G176="Blocked",$G176="Waiting on Others")),COUNT($R$5:R175)+1,"")</x:f>
      </x:c>
      <x:c r="S176" s="34" t="str">
        <x:f>IF(AND($B176&lt;&gt;"",$G176&lt;&gt;"Done",$G176&lt;&gt;"Canceled",OR($M176="Yes",$G176="Blocked",$G176="Waiting on Others")),COUNT($S$5:S175)+1,"")</x:f>
      </x:c>
    </x:row>
    <x:row r="177">
      <x:c r="A177" s="30"/>
      <x:c r="B177" s="30"/>
      <x:c r="C177" s="30"/>
      <x:c r="D177" s="30"/>
      <x:c r="E177" s="30"/>
      <x:c r="F177" s="30"/>
      <x:c r="G177" s="30"/>
      <x:c r="H177" s="31"/>
      <x:c r="I177" s="32"/>
      <x:c r="J177" s="33"/>
      <x:c r="K177" s="30"/>
      <x:c r="L177" s="30"/>
      <x:c r="M177" s="30"/>
      <x:c r="N177" s="30"/>
      <x:c r="O177" s="31"/>
      <x:c r="P177" s="30"/>
      <x:c r="Q177" s="30"/>
      <x:c r="R177" s="34" t="str">
        <x:f>IF(AND($B177&lt;&gt;"",$G177&lt;&gt;"Done",$G177&lt;&gt;"Canceled",OR($L177="Yes",$H177&lt;=TODAY()+1,$F177="P0 Critical",$F177="P1 High",$G177="Blocked",$G177="Waiting on Others")),COUNT($R$5:R176)+1,"")</x:f>
      </x:c>
      <x:c r="S177" s="34" t="str">
        <x:f>IF(AND($B177&lt;&gt;"",$G177&lt;&gt;"Done",$G177&lt;&gt;"Canceled",OR($M177="Yes",$G177="Blocked",$G177="Waiting on Others")),COUNT($S$5:S176)+1,"")</x:f>
      </x:c>
    </x:row>
    <x:row r="178">
      <x:c r="A178" s="30"/>
      <x:c r="B178" s="30"/>
      <x:c r="C178" s="30"/>
      <x:c r="D178" s="30"/>
      <x:c r="E178" s="30"/>
      <x:c r="F178" s="30"/>
      <x:c r="G178" s="30"/>
      <x:c r="H178" s="31"/>
      <x:c r="I178" s="32"/>
      <x:c r="J178" s="33"/>
      <x:c r="K178" s="30"/>
      <x:c r="L178" s="30"/>
      <x:c r="M178" s="30"/>
      <x:c r="N178" s="30"/>
      <x:c r="O178" s="31"/>
      <x:c r="P178" s="30"/>
      <x:c r="Q178" s="30"/>
      <x:c r="R178" s="34" t="str">
        <x:f>IF(AND($B178&lt;&gt;"",$G178&lt;&gt;"Done",$G178&lt;&gt;"Canceled",OR($L178="Yes",$H178&lt;=TODAY()+1,$F178="P0 Critical",$F178="P1 High",$G178="Blocked",$G178="Waiting on Others")),COUNT($R$5:R177)+1,"")</x:f>
      </x:c>
      <x:c r="S178" s="34" t="str">
        <x:f>IF(AND($B178&lt;&gt;"",$G178&lt;&gt;"Done",$G178&lt;&gt;"Canceled",OR($M178="Yes",$G178="Blocked",$G178="Waiting on Others")),COUNT($S$5:S177)+1,"")</x:f>
      </x:c>
    </x:row>
    <x:row r="179">
      <x:c r="A179" s="30"/>
      <x:c r="B179" s="30"/>
      <x:c r="C179" s="30"/>
      <x:c r="D179" s="30"/>
      <x:c r="E179" s="30"/>
      <x:c r="F179" s="30"/>
      <x:c r="G179" s="30"/>
      <x:c r="H179" s="31"/>
      <x:c r="I179" s="32"/>
      <x:c r="J179" s="33"/>
      <x:c r="K179" s="30"/>
      <x:c r="L179" s="30"/>
      <x:c r="M179" s="30"/>
      <x:c r="N179" s="30"/>
      <x:c r="O179" s="31"/>
      <x:c r="P179" s="30"/>
      <x:c r="Q179" s="30"/>
      <x:c r="R179" s="34" t="str">
        <x:f>IF(AND($B179&lt;&gt;"",$G179&lt;&gt;"Done",$G179&lt;&gt;"Canceled",OR($L179="Yes",$H179&lt;=TODAY()+1,$F179="P0 Critical",$F179="P1 High",$G179="Blocked",$G179="Waiting on Others")),COUNT($R$5:R178)+1,"")</x:f>
      </x:c>
      <x:c r="S179" s="34" t="str">
        <x:f>IF(AND($B179&lt;&gt;"",$G179&lt;&gt;"Done",$G179&lt;&gt;"Canceled",OR($M179="Yes",$G179="Blocked",$G179="Waiting on Others")),COUNT($S$5:S178)+1,"")</x:f>
      </x:c>
    </x:row>
    <x:row r="180">
      <x:c r="A180" s="30"/>
      <x:c r="B180" s="30"/>
      <x:c r="C180" s="30"/>
      <x:c r="D180" s="30"/>
      <x:c r="E180" s="30"/>
      <x:c r="F180" s="30"/>
      <x:c r="G180" s="30"/>
      <x:c r="H180" s="31"/>
      <x:c r="I180" s="32"/>
      <x:c r="J180" s="33"/>
      <x:c r="K180" s="30"/>
      <x:c r="L180" s="30"/>
      <x:c r="M180" s="30"/>
      <x:c r="N180" s="30"/>
      <x:c r="O180" s="31"/>
      <x:c r="P180" s="30"/>
      <x:c r="Q180" s="30"/>
      <x:c r="R180" s="34" t="str">
        <x:f>IF(AND($B180&lt;&gt;"",$G180&lt;&gt;"Done",$G180&lt;&gt;"Canceled",OR($L180="Yes",$H180&lt;=TODAY()+1,$F180="P0 Critical",$F180="P1 High",$G180="Blocked",$G180="Waiting on Others")),COUNT($R$5:R179)+1,"")</x:f>
      </x:c>
      <x:c r="S180" s="34" t="str">
        <x:f>IF(AND($B180&lt;&gt;"",$G180&lt;&gt;"Done",$G180&lt;&gt;"Canceled",OR($M180="Yes",$G180="Blocked",$G180="Waiting on Others")),COUNT($S$5:S179)+1,"")</x:f>
      </x:c>
    </x:row>
    <x:row r="181">
      <x:c r="A181" s="30"/>
      <x:c r="B181" s="30"/>
      <x:c r="C181" s="30"/>
      <x:c r="D181" s="30"/>
      <x:c r="E181" s="30"/>
      <x:c r="F181" s="30"/>
      <x:c r="G181" s="30"/>
      <x:c r="H181" s="31"/>
      <x:c r="I181" s="32"/>
      <x:c r="J181" s="33"/>
      <x:c r="K181" s="30"/>
      <x:c r="L181" s="30"/>
      <x:c r="M181" s="30"/>
      <x:c r="N181" s="30"/>
      <x:c r="O181" s="31"/>
      <x:c r="P181" s="30"/>
      <x:c r="Q181" s="30"/>
      <x:c r="R181" s="34" t="str">
        <x:f>IF(AND($B181&lt;&gt;"",$G181&lt;&gt;"Done",$G181&lt;&gt;"Canceled",OR($L181="Yes",$H181&lt;=TODAY()+1,$F181="P0 Critical",$F181="P1 High",$G181="Blocked",$G181="Waiting on Others")),COUNT($R$5:R180)+1,"")</x:f>
      </x:c>
      <x:c r="S181" s="34" t="str">
        <x:f>IF(AND($B181&lt;&gt;"",$G181&lt;&gt;"Done",$G181&lt;&gt;"Canceled",OR($M181="Yes",$G181="Blocked",$G181="Waiting on Others")),COUNT($S$5:S180)+1,"")</x:f>
      </x:c>
    </x:row>
    <x:row r="182">
      <x:c r="A182" s="30"/>
      <x:c r="B182" s="30"/>
      <x:c r="C182" s="30"/>
      <x:c r="D182" s="30"/>
      <x:c r="E182" s="30"/>
      <x:c r="F182" s="30"/>
      <x:c r="G182" s="30"/>
      <x:c r="H182" s="31"/>
      <x:c r="I182" s="32"/>
      <x:c r="J182" s="33"/>
      <x:c r="K182" s="30"/>
      <x:c r="L182" s="30"/>
      <x:c r="M182" s="30"/>
      <x:c r="N182" s="30"/>
      <x:c r="O182" s="31"/>
      <x:c r="P182" s="30"/>
      <x:c r="Q182" s="30"/>
      <x:c r="R182" s="34" t="str">
        <x:f>IF(AND($B182&lt;&gt;"",$G182&lt;&gt;"Done",$G182&lt;&gt;"Canceled",OR($L182="Yes",$H182&lt;=TODAY()+1,$F182="P0 Critical",$F182="P1 High",$G182="Blocked",$G182="Waiting on Others")),COUNT($R$5:R181)+1,"")</x:f>
      </x:c>
      <x:c r="S182" s="34" t="str">
        <x:f>IF(AND($B182&lt;&gt;"",$G182&lt;&gt;"Done",$G182&lt;&gt;"Canceled",OR($M182="Yes",$G182="Blocked",$G182="Waiting on Others")),COUNT($S$5:S181)+1,"")</x:f>
      </x:c>
    </x:row>
    <x:row r="183">
      <x:c r="A183" s="30"/>
      <x:c r="B183" s="30"/>
      <x:c r="C183" s="30"/>
      <x:c r="D183" s="30"/>
      <x:c r="E183" s="30"/>
      <x:c r="F183" s="30"/>
      <x:c r="G183" s="30"/>
      <x:c r="H183" s="31"/>
      <x:c r="I183" s="32"/>
      <x:c r="J183" s="33"/>
      <x:c r="K183" s="30"/>
      <x:c r="L183" s="30"/>
      <x:c r="M183" s="30"/>
      <x:c r="N183" s="30"/>
      <x:c r="O183" s="31"/>
      <x:c r="P183" s="30"/>
      <x:c r="Q183" s="30"/>
      <x:c r="R183" s="34" t="str">
        <x:f>IF(AND($B183&lt;&gt;"",$G183&lt;&gt;"Done",$G183&lt;&gt;"Canceled",OR($L183="Yes",$H183&lt;=TODAY()+1,$F183="P0 Critical",$F183="P1 High",$G183="Blocked",$G183="Waiting on Others")),COUNT($R$5:R182)+1,"")</x:f>
      </x:c>
      <x:c r="S183" s="34" t="str">
        <x:f>IF(AND($B183&lt;&gt;"",$G183&lt;&gt;"Done",$G183&lt;&gt;"Canceled",OR($M183="Yes",$G183="Blocked",$G183="Waiting on Others")),COUNT($S$5:S182)+1,"")</x:f>
      </x:c>
    </x:row>
    <x:row r="184">
      <x:c r="A184" s="30"/>
      <x:c r="B184" s="30"/>
      <x:c r="C184" s="30"/>
      <x:c r="D184" s="30"/>
      <x:c r="E184" s="30"/>
      <x:c r="F184" s="30"/>
      <x:c r="G184" s="30"/>
      <x:c r="H184" s="31"/>
      <x:c r="I184" s="32"/>
      <x:c r="J184" s="33"/>
      <x:c r="K184" s="30"/>
      <x:c r="L184" s="30"/>
      <x:c r="M184" s="30"/>
      <x:c r="N184" s="30"/>
      <x:c r="O184" s="31"/>
      <x:c r="P184" s="30"/>
      <x:c r="Q184" s="30"/>
      <x:c r="R184" s="34" t="str">
        <x:f>IF(AND($B184&lt;&gt;"",$G184&lt;&gt;"Done",$G184&lt;&gt;"Canceled",OR($L184="Yes",$H184&lt;=TODAY()+1,$F184="P0 Critical",$F184="P1 High",$G184="Blocked",$G184="Waiting on Others")),COUNT($R$5:R183)+1,"")</x:f>
      </x:c>
      <x:c r="S184" s="34" t="str">
        <x:f>IF(AND($B184&lt;&gt;"",$G184&lt;&gt;"Done",$G184&lt;&gt;"Canceled",OR($M184="Yes",$G184="Blocked",$G184="Waiting on Others")),COUNT($S$5:S183)+1,"")</x:f>
      </x:c>
    </x:row>
    <x:row r="185">
      <x:c r="A185" s="30"/>
      <x:c r="B185" s="30"/>
      <x:c r="C185" s="30"/>
      <x:c r="D185" s="30"/>
      <x:c r="E185" s="30"/>
      <x:c r="F185" s="30"/>
      <x:c r="G185" s="30"/>
      <x:c r="H185" s="31"/>
      <x:c r="I185" s="32"/>
      <x:c r="J185" s="33"/>
      <x:c r="K185" s="30"/>
      <x:c r="L185" s="30"/>
      <x:c r="M185" s="30"/>
      <x:c r="N185" s="30"/>
      <x:c r="O185" s="31"/>
      <x:c r="P185" s="30"/>
      <x:c r="Q185" s="30"/>
      <x:c r="R185" s="34" t="str">
        <x:f>IF(AND($B185&lt;&gt;"",$G185&lt;&gt;"Done",$G185&lt;&gt;"Canceled",OR($L185="Yes",$H185&lt;=TODAY()+1,$F185="P0 Critical",$F185="P1 High",$G185="Blocked",$G185="Waiting on Others")),COUNT($R$5:R184)+1,"")</x:f>
      </x:c>
      <x:c r="S185" s="34" t="str">
        <x:f>IF(AND($B185&lt;&gt;"",$G185&lt;&gt;"Done",$G185&lt;&gt;"Canceled",OR($M185="Yes",$G185="Blocked",$G185="Waiting on Others")),COUNT($S$5:S184)+1,"")</x:f>
      </x:c>
    </x:row>
    <x:row r="186">
      <x:c r="A186" s="30"/>
      <x:c r="B186" s="30"/>
      <x:c r="C186" s="30"/>
      <x:c r="D186" s="30"/>
      <x:c r="E186" s="30"/>
      <x:c r="F186" s="30"/>
      <x:c r="G186" s="30"/>
      <x:c r="H186" s="31"/>
      <x:c r="I186" s="32"/>
      <x:c r="J186" s="33"/>
      <x:c r="K186" s="30"/>
      <x:c r="L186" s="30"/>
      <x:c r="M186" s="30"/>
      <x:c r="N186" s="30"/>
      <x:c r="O186" s="31"/>
      <x:c r="P186" s="30"/>
      <x:c r="Q186" s="30"/>
      <x:c r="R186" s="34" t="str">
        <x:f>IF(AND($B186&lt;&gt;"",$G186&lt;&gt;"Done",$G186&lt;&gt;"Canceled",OR($L186="Yes",$H186&lt;=TODAY()+1,$F186="P0 Critical",$F186="P1 High",$G186="Blocked",$G186="Waiting on Others")),COUNT($R$5:R185)+1,"")</x:f>
      </x:c>
      <x:c r="S186" s="34" t="str">
        <x:f>IF(AND($B186&lt;&gt;"",$G186&lt;&gt;"Done",$G186&lt;&gt;"Canceled",OR($M186="Yes",$G186="Blocked",$G186="Waiting on Others")),COUNT($S$5:S185)+1,"")</x:f>
      </x:c>
    </x:row>
    <x:row r="187">
      <x:c r="A187" s="30"/>
      <x:c r="B187" s="30"/>
      <x:c r="C187" s="30"/>
      <x:c r="D187" s="30"/>
      <x:c r="E187" s="30"/>
      <x:c r="F187" s="30"/>
      <x:c r="G187" s="30"/>
      <x:c r="H187" s="31"/>
      <x:c r="I187" s="32"/>
      <x:c r="J187" s="33"/>
      <x:c r="K187" s="30"/>
      <x:c r="L187" s="30"/>
      <x:c r="M187" s="30"/>
      <x:c r="N187" s="30"/>
      <x:c r="O187" s="31"/>
      <x:c r="P187" s="30"/>
      <x:c r="Q187" s="30"/>
      <x:c r="R187" s="34" t="str">
        <x:f>IF(AND($B187&lt;&gt;"",$G187&lt;&gt;"Done",$G187&lt;&gt;"Canceled",OR($L187="Yes",$H187&lt;=TODAY()+1,$F187="P0 Critical",$F187="P1 High",$G187="Blocked",$G187="Waiting on Others")),COUNT($R$5:R186)+1,"")</x:f>
      </x:c>
      <x:c r="S187" s="34" t="str">
        <x:f>IF(AND($B187&lt;&gt;"",$G187&lt;&gt;"Done",$G187&lt;&gt;"Canceled",OR($M187="Yes",$G187="Blocked",$G187="Waiting on Others")),COUNT($S$5:S186)+1,"")</x:f>
      </x:c>
    </x:row>
    <x:row r="188">
      <x:c r="A188" s="30"/>
      <x:c r="B188" s="30"/>
      <x:c r="C188" s="30"/>
      <x:c r="D188" s="30"/>
      <x:c r="E188" s="30"/>
      <x:c r="F188" s="30"/>
      <x:c r="G188" s="30"/>
      <x:c r="H188" s="31"/>
      <x:c r="I188" s="32"/>
      <x:c r="J188" s="33"/>
      <x:c r="K188" s="30"/>
      <x:c r="L188" s="30"/>
      <x:c r="M188" s="30"/>
      <x:c r="N188" s="30"/>
      <x:c r="O188" s="31"/>
      <x:c r="P188" s="30"/>
      <x:c r="Q188" s="30"/>
      <x:c r="R188" s="34" t="str">
        <x:f>IF(AND($B188&lt;&gt;"",$G188&lt;&gt;"Done",$G188&lt;&gt;"Canceled",OR($L188="Yes",$H188&lt;=TODAY()+1,$F188="P0 Critical",$F188="P1 High",$G188="Blocked",$G188="Waiting on Others")),COUNT($R$5:R187)+1,"")</x:f>
      </x:c>
      <x:c r="S188" s="34" t="str">
        <x:f>IF(AND($B188&lt;&gt;"",$G188&lt;&gt;"Done",$G188&lt;&gt;"Canceled",OR($M188="Yes",$G188="Blocked",$G188="Waiting on Others")),COUNT($S$5:S187)+1,"")</x:f>
      </x:c>
    </x:row>
    <x:row r="189">
      <x:c r="A189" s="30"/>
      <x:c r="B189" s="30"/>
      <x:c r="C189" s="30"/>
      <x:c r="D189" s="30"/>
      <x:c r="E189" s="30"/>
      <x:c r="F189" s="30"/>
      <x:c r="G189" s="30"/>
      <x:c r="H189" s="31"/>
      <x:c r="I189" s="32"/>
      <x:c r="J189" s="33"/>
      <x:c r="K189" s="30"/>
      <x:c r="L189" s="30"/>
      <x:c r="M189" s="30"/>
      <x:c r="N189" s="30"/>
      <x:c r="O189" s="31"/>
      <x:c r="P189" s="30"/>
      <x:c r="Q189" s="30"/>
      <x:c r="R189" s="34" t="str">
        <x:f>IF(AND($B189&lt;&gt;"",$G189&lt;&gt;"Done",$G189&lt;&gt;"Canceled",OR($L189="Yes",$H189&lt;=TODAY()+1,$F189="P0 Critical",$F189="P1 High",$G189="Blocked",$G189="Waiting on Others")),COUNT($R$5:R188)+1,"")</x:f>
      </x:c>
      <x:c r="S189" s="34" t="str">
        <x:f>IF(AND($B189&lt;&gt;"",$G189&lt;&gt;"Done",$G189&lt;&gt;"Canceled",OR($M189="Yes",$G189="Blocked",$G189="Waiting on Others")),COUNT($S$5:S188)+1,"")</x:f>
      </x:c>
    </x:row>
    <x:row r="190">
      <x:c r="A190" s="30"/>
      <x:c r="B190" s="30"/>
      <x:c r="C190" s="30"/>
      <x:c r="D190" s="30"/>
      <x:c r="E190" s="30"/>
      <x:c r="F190" s="30"/>
      <x:c r="G190" s="30"/>
      <x:c r="H190" s="31"/>
      <x:c r="I190" s="32"/>
      <x:c r="J190" s="33"/>
      <x:c r="K190" s="30"/>
      <x:c r="L190" s="30"/>
      <x:c r="M190" s="30"/>
      <x:c r="N190" s="30"/>
      <x:c r="O190" s="31"/>
      <x:c r="P190" s="30"/>
      <x:c r="Q190" s="30"/>
      <x:c r="R190" s="34" t="str">
        <x:f>IF(AND($B190&lt;&gt;"",$G190&lt;&gt;"Done",$G190&lt;&gt;"Canceled",OR($L190="Yes",$H190&lt;=TODAY()+1,$F190="P0 Critical",$F190="P1 High",$G190="Blocked",$G190="Waiting on Others")),COUNT($R$5:R189)+1,"")</x:f>
      </x:c>
      <x:c r="S190" s="34" t="str">
        <x:f>IF(AND($B190&lt;&gt;"",$G190&lt;&gt;"Done",$G190&lt;&gt;"Canceled",OR($M190="Yes",$G190="Blocked",$G190="Waiting on Others")),COUNT($S$5:S189)+1,"")</x:f>
      </x:c>
    </x:row>
    <x:row r="191">
      <x:c r="A191" s="30"/>
      <x:c r="B191" s="30"/>
      <x:c r="C191" s="30"/>
      <x:c r="D191" s="30"/>
      <x:c r="E191" s="30"/>
      <x:c r="F191" s="30"/>
      <x:c r="G191" s="30"/>
      <x:c r="H191" s="31"/>
      <x:c r="I191" s="32"/>
      <x:c r="J191" s="33"/>
      <x:c r="K191" s="30"/>
      <x:c r="L191" s="30"/>
      <x:c r="M191" s="30"/>
      <x:c r="N191" s="30"/>
      <x:c r="O191" s="31"/>
      <x:c r="P191" s="30"/>
      <x:c r="Q191" s="30"/>
      <x:c r="R191" s="34" t="str">
        <x:f>IF(AND($B191&lt;&gt;"",$G191&lt;&gt;"Done",$G191&lt;&gt;"Canceled",OR($L191="Yes",$H191&lt;=TODAY()+1,$F191="P0 Critical",$F191="P1 High",$G191="Blocked",$G191="Waiting on Others")),COUNT($R$5:R190)+1,"")</x:f>
      </x:c>
      <x:c r="S191" s="34" t="str">
        <x:f>IF(AND($B191&lt;&gt;"",$G191&lt;&gt;"Done",$G191&lt;&gt;"Canceled",OR($M191="Yes",$G191="Blocked",$G191="Waiting on Others")),COUNT($S$5:S190)+1,"")</x:f>
      </x:c>
    </x:row>
    <x:row r="192">
      <x:c r="A192" s="30"/>
      <x:c r="B192" s="30"/>
      <x:c r="C192" s="30"/>
      <x:c r="D192" s="30"/>
      <x:c r="E192" s="30"/>
      <x:c r="F192" s="30"/>
      <x:c r="G192" s="30"/>
      <x:c r="H192" s="31"/>
      <x:c r="I192" s="32"/>
      <x:c r="J192" s="33"/>
      <x:c r="K192" s="30"/>
      <x:c r="L192" s="30"/>
      <x:c r="M192" s="30"/>
      <x:c r="N192" s="30"/>
      <x:c r="O192" s="31"/>
      <x:c r="P192" s="30"/>
      <x:c r="Q192" s="30"/>
      <x:c r="R192" s="34" t="str">
        <x:f>IF(AND($B192&lt;&gt;"",$G192&lt;&gt;"Done",$G192&lt;&gt;"Canceled",OR($L192="Yes",$H192&lt;=TODAY()+1,$F192="P0 Critical",$F192="P1 High",$G192="Blocked",$G192="Waiting on Others")),COUNT($R$5:R191)+1,"")</x:f>
      </x:c>
      <x:c r="S192" s="34" t="str">
        <x:f>IF(AND($B192&lt;&gt;"",$G192&lt;&gt;"Done",$G192&lt;&gt;"Canceled",OR($M192="Yes",$G192="Blocked",$G192="Waiting on Others")),COUNT($S$5:S191)+1,"")</x:f>
      </x:c>
    </x:row>
    <x:row r="193">
      <x:c r="A193" s="30"/>
      <x:c r="B193" s="30"/>
      <x:c r="C193" s="30"/>
      <x:c r="D193" s="30"/>
      <x:c r="E193" s="30"/>
      <x:c r="F193" s="30"/>
      <x:c r="G193" s="30"/>
      <x:c r="H193" s="31"/>
      <x:c r="I193" s="32"/>
      <x:c r="J193" s="33"/>
      <x:c r="K193" s="30"/>
      <x:c r="L193" s="30"/>
      <x:c r="M193" s="30"/>
      <x:c r="N193" s="30"/>
      <x:c r="O193" s="31"/>
      <x:c r="P193" s="30"/>
      <x:c r="Q193" s="30"/>
      <x:c r="R193" s="34" t="str">
        <x:f>IF(AND($B193&lt;&gt;"",$G193&lt;&gt;"Done",$G193&lt;&gt;"Canceled",OR($L193="Yes",$H193&lt;=TODAY()+1,$F193="P0 Critical",$F193="P1 High",$G193="Blocked",$G193="Waiting on Others")),COUNT($R$5:R192)+1,"")</x:f>
      </x:c>
      <x:c r="S193" s="34" t="str">
        <x:f>IF(AND($B193&lt;&gt;"",$G193&lt;&gt;"Done",$G193&lt;&gt;"Canceled",OR($M193="Yes",$G193="Blocked",$G193="Waiting on Others")),COUNT($S$5:S192)+1,"")</x:f>
      </x:c>
    </x:row>
    <x:row r="194">
      <x:c r="A194" s="30"/>
      <x:c r="B194" s="30"/>
      <x:c r="C194" s="30"/>
      <x:c r="D194" s="30"/>
      <x:c r="E194" s="30"/>
      <x:c r="F194" s="30"/>
      <x:c r="G194" s="30"/>
      <x:c r="H194" s="31"/>
      <x:c r="I194" s="32"/>
      <x:c r="J194" s="33"/>
      <x:c r="K194" s="30"/>
      <x:c r="L194" s="30"/>
      <x:c r="M194" s="30"/>
      <x:c r="N194" s="30"/>
      <x:c r="O194" s="31"/>
      <x:c r="P194" s="30"/>
      <x:c r="Q194" s="30"/>
      <x:c r="R194" s="34" t="str">
        <x:f>IF(AND($B194&lt;&gt;"",$G194&lt;&gt;"Done",$G194&lt;&gt;"Canceled",OR($L194="Yes",$H194&lt;=TODAY()+1,$F194="P0 Critical",$F194="P1 High",$G194="Blocked",$G194="Waiting on Others")),COUNT($R$5:R193)+1,"")</x:f>
      </x:c>
      <x:c r="S194" s="34" t="str">
        <x:f>IF(AND($B194&lt;&gt;"",$G194&lt;&gt;"Done",$G194&lt;&gt;"Canceled",OR($M194="Yes",$G194="Blocked",$G194="Waiting on Others")),COUNT($S$5:S193)+1,"")</x:f>
      </x:c>
    </x:row>
    <x:row r="195">
      <x:c r="A195" s="30"/>
      <x:c r="B195" s="30"/>
      <x:c r="C195" s="30"/>
      <x:c r="D195" s="30"/>
      <x:c r="E195" s="30"/>
      <x:c r="F195" s="30"/>
      <x:c r="G195" s="30"/>
      <x:c r="H195" s="31"/>
      <x:c r="I195" s="32"/>
      <x:c r="J195" s="33"/>
      <x:c r="K195" s="30"/>
      <x:c r="L195" s="30"/>
      <x:c r="M195" s="30"/>
      <x:c r="N195" s="30"/>
      <x:c r="O195" s="31"/>
      <x:c r="P195" s="30"/>
      <x:c r="Q195" s="30"/>
      <x:c r="R195" s="34" t="str">
        <x:f>IF(AND($B195&lt;&gt;"",$G195&lt;&gt;"Done",$G195&lt;&gt;"Canceled",OR($L195="Yes",$H195&lt;=TODAY()+1,$F195="P0 Critical",$F195="P1 High",$G195="Blocked",$G195="Waiting on Others")),COUNT($R$5:R194)+1,"")</x:f>
      </x:c>
      <x:c r="S195" s="34" t="str">
        <x:f>IF(AND($B195&lt;&gt;"",$G195&lt;&gt;"Done",$G195&lt;&gt;"Canceled",OR($M195="Yes",$G195="Blocked",$G195="Waiting on Others")),COUNT($S$5:S194)+1,"")</x:f>
      </x:c>
    </x:row>
    <x:row r="196">
      <x:c r="A196" s="30"/>
      <x:c r="B196" s="30"/>
      <x:c r="C196" s="30"/>
      <x:c r="D196" s="30"/>
      <x:c r="E196" s="30"/>
      <x:c r="F196" s="30"/>
      <x:c r="G196" s="30"/>
      <x:c r="H196" s="31"/>
      <x:c r="I196" s="32"/>
      <x:c r="J196" s="33"/>
      <x:c r="K196" s="30"/>
      <x:c r="L196" s="30"/>
      <x:c r="M196" s="30"/>
      <x:c r="N196" s="30"/>
      <x:c r="O196" s="31"/>
      <x:c r="P196" s="30"/>
      <x:c r="Q196" s="30"/>
      <x:c r="R196" s="34" t="str">
        <x:f>IF(AND($B196&lt;&gt;"",$G196&lt;&gt;"Done",$G196&lt;&gt;"Canceled",OR($L196="Yes",$H196&lt;=TODAY()+1,$F196="P0 Critical",$F196="P1 High",$G196="Blocked",$G196="Waiting on Others")),COUNT($R$5:R195)+1,"")</x:f>
      </x:c>
      <x:c r="S196" s="34" t="str">
        <x:f>IF(AND($B196&lt;&gt;"",$G196&lt;&gt;"Done",$G196&lt;&gt;"Canceled",OR($M196="Yes",$G196="Blocked",$G196="Waiting on Others")),COUNT($S$5:S195)+1,"")</x:f>
      </x:c>
    </x:row>
    <x:row r="197">
      <x:c r="A197" s="30"/>
      <x:c r="B197" s="30"/>
      <x:c r="C197" s="30"/>
      <x:c r="D197" s="30"/>
      <x:c r="E197" s="30"/>
      <x:c r="F197" s="30"/>
      <x:c r="G197" s="30"/>
      <x:c r="H197" s="31"/>
      <x:c r="I197" s="32"/>
      <x:c r="J197" s="33"/>
      <x:c r="K197" s="30"/>
      <x:c r="L197" s="30"/>
      <x:c r="M197" s="30"/>
      <x:c r="N197" s="30"/>
      <x:c r="O197" s="31"/>
      <x:c r="P197" s="30"/>
      <x:c r="Q197" s="30"/>
      <x:c r="R197" s="34" t="str">
        <x:f>IF(AND($B197&lt;&gt;"",$G197&lt;&gt;"Done",$G197&lt;&gt;"Canceled",OR($L197="Yes",$H197&lt;=TODAY()+1,$F197="P0 Critical",$F197="P1 High",$G197="Blocked",$G197="Waiting on Others")),COUNT($R$5:R196)+1,"")</x:f>
      </x:c>
      <x:c r="S197" s="34" t="str">
        <x:f>IF(AND($B197&lt;&gt;"",$G197&lt;&gt;"Done",$G197&lt;&gt;"Canceled",OR($M197="Yes",$G197="Blocked",$G197="Waiting on Others")),COUNT($S$5:S196)+1,"")</x:f>
      </x:c>
    </x:row>
    <x:row r="198">
      <x:c r="A198" s="30"/>
      <x:c r="B198" s="30"/>
      <x:c r="C198" s="30"/>
      <x:c r="D198" s="30"/>
      <x:c r="E198" s="30"/>
      <x:c r="F198" s="30"/>
      <x:c r="G198" s="30"/>
      <x:c r="H198" s="31"/>
      <x:c r="I198" s="32"/>
      <x:c r="J198" s="33"/>
      <x:c r="K198" s="30"/>
      <x:c r="L198" s="30"/>
      <x:c r="M198" s="30"/>
      <x:c r="N198" s="30"/>
      <x:c r="O198" s="31"/>
      <x:c r="P198" s="30"/>
      <x:c r="Q198" s="30"/>
      <x:c r="R198" s="34" t="str">
        <x:f>IF(AND($B198&lt;&gt;"",$G198&lt;&gt;"Done",$G198&lt;&gt;"Canceled",OR($L198="Yes",$H198&lt;=TODAY()+1,$F198="P0 Critical",$F198="P1 High",$G198="Blocked",$G198="Waiting on Others")),COUNT($R$5:R197)+1,"")</x:f>
      </x:c>
      <x:c r="S198" s="34" t="str">
        <x:f>IF(AND($B198&lt;&gt;"",$G198&lt;&gt;"Done",$G198&lt;&gt;"Canceled",OR($M198="Yes",$G198="Blocked",$G198="Waiting on Others")),COUNT($S$5:S197)+1,"")</x:f>
      </x:c>
    </x:row>
    <x:row r="199">
      <x:c r="A199" s="30"/>
      <x:c r="B199" s="30"/>
      <x:c r="C199" s="30"/>
      <x:c r="D199" s="30"/>
      <x:c r="E199" s="30"/>
      <x:c r="F199" s="30"/>
      <x:c r="G199" s="30"/>
      <x:c r="H199" s="31"/>
      <x:c r="I199" s="32"/>
      <x:c r="J199" s="33"/>
      <x:c r="K199" s="30"/>
      <x:c r="L199" s="30"/>
      <x:c r="M199" s="30"/>
      <x:c r="N199" s="30"/>
      <x:c r="O199" s="31"/>
      <x:c r="P199" s="30"/>
      <x:c r="Q199" s="30"/>
      <x:c r="R199" s="34" t="str">
        <x:f>IF(AND($B199&lt;&gt;"",$G199&lt;&gt;"Done",$G199&lt;&gt;"Canceled",OR($L199="Yes",$H199&lt;=TODAY()+1,$F199="P0 Critical",$F199="P1 High",$G199="Blocked",$G199="Waiting on Others")),COUNT($R$5:R198)+1,"")</x:f>
      </x:c>
      <x:c r="S199" s="34" t="str">
        <x:f>IF(AND($B199&lt;&gt;"",$G199&lt;&gt;"Done",$G199&lt;&gt;"Canceled",OR($M199="Yes",$G199="Blocked",$G199="Waiting on Others")),COUNT($S$5:S198)+1,"")</x:f>
      </x:c>
    </x:row>
    <x:row r="200">
      <x:c r="A200" s="30"/>
      <x:c r="B200" s="30"/>
      <x:c r="C200" s="30"/>
      <x:c r="D200" s="30"/>
      <x:c r="E200" s="30"/>
      <x:c r="F200" s="30"/>
      <x:c r="G200" s="30"/>
      <x:c r="H200" s="31"/>
      <x:c r="I200" s="32"/>
      <x:c r="J200" s="33"/>
      <x:c r="K200" s="30"/>
      <x:c r="L200" s="30"/>
      <x:c r="M200" s="30"/>
      <x:c r="N200" s="30"/>
      <x:c r="O200" s="31"/>
      <x:c r="P200" s="30"/>
      <x:c r="Q200" s="30"/>
      <x:c r="R200" s="34" t="str">
        <x:f>IF(AND($B200&lt;&gt;"",$G200&lt;&gt;"Done",$G200&lt;&gt;"Canceled",OR($L200="Yes",$H200&lt;=TODAY()+1,$F200="P0 Critical",$F200="P1 High",$G200="Blocked",$G200="Waiting on Others")),COUNT($R$5:R199)+1,"")</x:f>
      </x:c>
      <x:c r="S200" s="34" t="str">
        <x:f>IF(AND($B200&lt;&gt;"",$G200&lt;&gt;"Done",$G200&lt;&gt;"Canceled",OR($M200="Yes",$G200="Blocked",$G200="Waiting on Others")),COUNT($S$5:S199)+1,"")</x:f>
      </x:c>
    </x:row>
    <x:row r="201">
      <x:c r="A201" s="30"/>
      <x:c r="B201" s="30"/>
      <x:c r="C201" s="30"/>
      <x:c r="D201" s="30"/>
      <x:c r="E201" s="30"/>
      <x:c r="F201" s="30"/>
      <x:c r="G201" s="30"/>
      <x:c r="H201" s="31"/>
      <x:c r="I201" s="32"/>
      <x:c r="J201" s="33"/>
      <x:c r="K201" s="30"/>
      <x:c r="L201" s="30"/>
      <x:c r="M201" s="30"/>
      <x:c r="N201" s="30"/>
      <x:c r="O201" s="31"/>
      <x:c r="P201" s="30"/>
      <x:c r="Q201" s="30"/>
      <x:c r="R201" s="34" t="str">
        <x:f>IF(AND($B201&lt;&gt;"",$G201&lt;&gt;"Done",$G201&lt;&gt;"Canceled",OR($L201="Yes",$H201&lt;=TODAY()+1,$F201="P0 Critical",$F201="P1 High",$G201="Blocked",$G201="Waiting on Others")),COUNT($R$5:R200)+1,"")</x:f>
      </x:c>
      <x:c r="S201" s="34" t="str">
        <x:f>IF(AND($B201&lt;&gt;"",$G201&lt;&gt;"Done",$G201&lt;&gt;"Canceled",OR($M201="Yes",$G201="Blocked",$G201="Waiting on Others")),COUNT($S$5:S200)+1,"")</x:f>
      </x:c>
    </x:row>
    <x:row r="202">
      <x:c r="A202" s="30"/>
      <x:c r="B202" s="30"/>
      <x:c r="C202" s="30"/>
      <x:c r="D202" s="30"/>
      <x:c r="E202" s="30"/>
      <x:c r="F202" s="30"/>
      <x:c r="G202" s="30"/>
      <x:c r="H202" s="31"/>
      <x:c r="I202" s="32"/>
      <x:c r="J202" s="33"/>
      <x:c r="K202" s="30"/>
      <x:c r="L202" s="30"/>
      <x:c r="M202" s="30"/>
      <x:c r="N202" s="30"/>
      <x:c r="O202" s="31"/>
      <x:c r="P202" s="30"/>
      <x:c r="Q202" s="30"/>
      <x:c r="R202" s="34" t="str">
        <x:f>IF(AND($B202&lt;&gt;"",$G202&lt;&gt;"Done",$G202&lt;&gt;"Canceled",OR($L202="Yes",$H202&lt;=TODAY()+1,$F202="P0 Critical",$F202="P1 High",$G202="Blocked",$G202="Waiting on Others")),COUNT($R$5:R201)+1,"")</x:f>
      </x:c>
      <x:c r="S202" s="34" t="str">
        <x:f>IF(AND($B202&lt;&gt;"",$G202&lt;&gt;"Done",$G202&lt;&gt;"Canceled",OR($M202="Yes",$G202="Blocked",$G202="Waiting on Others")),COUNT($S$5:S201)+1,"")</x:f>
      </x:c>
    </x:row>
    <x:row r="203">
      <x:c r="A203" s="30"/>
      <x:c r="B203" s="30"/>
      <x:c r="C203" s="30"/>
      <x:c r="D203" s="30"/>
      <x:c r="E203" s="30"/>
      <x:c r="F203" s="30"/>
      <x:c r="G203" s="30"/>
      <x:c r="H203" s="31"/>
      <x:c r="I203" s="32"/>
      <x:c r="J203" s="33"/>
      <x:c r="K203" s="30"/>
      <x:c r="L203" s="30"/>
      <x:c r="M203" s="30"/>
      <x:c r="N203" s="30"/>
      <x:c r="O203" s="31"/>
      <x:c r="P203" s="30"/>
      <x:c r="Q203" s="30"/>
      <x:c r="R203" s="34" t="str">
        <x:f>IF(AND($B203&lt;&gt;"",$G203&lt;&gt;"Done",$G203&lt;&gt;"Canceled",OR($L203="Yes",$H203&lt;=TODAY()+1,$F203="P0 Critical",$F203="P1 High",$G203="Blocked",$G203="Waiting on Others")),COUNT($R$5:R202)+1,"")</x:f>
      </x:c>
      <x:c r="S203" s="34" t="str">
        <x:f>IF(AND($B203&lt;&gt;"",$G203&lt;&gt;"Done",$G203&lt;&gt;"Canceled",OR($M203="Yes",$G203="Blocked",$G203="Waiting on Others")),COUNT($S$5:S202)+1,"")</x:f>
      </x:c>
    </x:row>
    <x:row r="204">
      <x:c r="A204" s="30"/>
      <x:c r="B204" s="30"/>
      <x:c r="C204" s="30"/>
      <x:c r="D204" s="30"/>
      <x:c r="E204" s="30"/>
      <x:c r="F204" s="30"/>
      <x:c r="G204" s="30"/>
      <x:c r="H204" s="31"/>
      <x:c r="I204" s="32"/>
      <x:c r="J204" s="33"/>
      <x:c r="K204" s="30"/>
      <x:c r="L204" s="30"/>
      <x:c r="M204" s="30"/>
      <x:c r="N204" s="30"/>
      <x:c r="O204" s="31"/>
      <x:c r="P204" s="30"/>
      <x:c r="Q204" s="30"/>
      <x:c r="R204" s="34" t="str">
        <x:f>IF(AND($B204&lt;&gt;"",$G204&lt;&gt;"Done",$G204&lt;&gt;"Canceled",OR($L204="Yes",$H204&lt;=TODAY()+1,$F204="P0 Critical",$F204="P1 High",$G204="Blocked",$G204="Waiting on Others")),COUNT($R$5:R203)+1,"")</x:f>
      </x:c>
      <x:c r="S204" s="34" t="str">
        <x:f>IF(AND($B204&lt;&gt;"",$G204&lt;&gt;"Done",$G204&lt;&gt;"Canceled",OR($M204="Yes",$G204="Blocked",$G204="Waiting on Others")),COUNT($S$5:S203)+1,"")</x:f>
      </x:c>
    </x:row>
    <x:row r="205">
      <x:c r="A205" s="30"/>
      <x:c r="B205" s="30"/>
      <x:c r="C205" s="30"/>
      <x:c r="D205" s="30"/>
      <x:c r="E205" s="30"/>
      <x:c r="F205" s="30"/>
      <x:c r="G205" s="30"/>
      <x:c r="H205" s="31"/>
      <x:c r="I205" s="32"/>
      <x:c r="J205" s="33"/>
      <x:c r="K205" s="30"/>
      <x:c r="L205" s="30"/>
      <x:c r="M205" s="30"/>
      <x:c r="N205" s="30"/>
      <x:c r="O205" s="31"/>
      <x:c r="P205" s="30"/>
      <x:c r="Q205" s="30"/>
      <x:c r="R205" s="34" t="str">
        <x:f>IF(AND($B205&lt;&gt;"",$G205&lt;&gt;"Done",$G205&lt;&gt;"Canceled",OR($L205="Yes",$H205&lt;=TODAY()+1,$F205="P0 Critical",$F205="P1 High",$G205="Blocked",$G205="Waiting on Others")),COUNT($R$5:R204)+1,"")</x:f>
      </x:c>
      <x:c r="S205" s="34" t="str">
        <x:f>IF(AND($B205&lt;&gt;"",$G205&lt;&gt;"Done",$G205&lt;&gt;"Canceled",OR($M205="Yes",$G205="Blocked",$G205="Waiting on Others")),COUNT($S$5:S204)+1,"")</x:f>
      </x:c>
    </x:row>
    <x:row r="206">
      <x:c r="A206" s="30"/>
      <x:c r="B206" s="30"/>
      <x:c r="C206" s="30"/>
      <x:c r="D206" s="30"/>
      <x:c r="E206" s="30"/>
      <x:c r="F206" s="30"/>
      <x:c r="G206" s="30"/>
      <x:c r="H206" s="31"/>
      <x:c r="I206" s="32"/>
      <x:c r="J206" s="33"/>
      <x:c r="K206" s="30"/>
      <x:c r="L206" s="30"/>
      <x:c r="M206" s="30"/>
      <x:c r="N206" s="30"/>
      <x:c r="O206" s="31"/>
      <x:c r="P206" s="30"/>
      <x:c r="Q206" s="30"/>
      <x:c r="R206" s="34" t="str">
        <x:f>IF(AND($B206&lt;&gt;"",$G206&lt;&gt;"Done",$G206&lt;&gt;"Canceled",OR($L206="Yes",$H206&lt;=TODAY()+1,$F206="P0 Critical",$F206="P1 High",$G206="Blocked",$G206="Waiting on Others")),COUNT($R$5:R205)+1,"")</x:f>
      </x:c>
      <x:c r="S206" s="34" t="str">
        <x:f>IF(AND($B206&lt;&gt;"",$G206&lt;&gt;"Done",$G206&lt;&gt;"Canceled",OR($M206="Yes",$G206="Blocked",$G206="Waiting on Others")),COUNT($S$5:S205)+1,"")</x:f>
      </x:c>
    </x:row>
    <x:row r="207">
      <x:c r="A207" s="30"/>
      <x:c r="B207" s="30"/>
      <x:c r="C207" s="30"/>
      <x:c r="D207" s="30"/>
      <x:c r="E207" s="30"/>
      <x:c r="F207" s="30"/>
      <x:c r="G207" s="30"/>
      <x:c r="H207" s="31"/>
      <x:c r="I207" s="32"/>
      <x:c r="J207" s="33"/>
      <x:c r="K207" s="30"/>
      <x:c r="L207" s="30"/>
      <x:c r="M207" s="30"/>
      <x:c r="N207" s="30"/>
      <x:c r="O207" s="31"/>
      <x:c r="P207" s="30"/>
      <x:c r="Q207" s="30"/>
      <x:c r="R207" s="34" t="str">
        <x:f>IF(AND($B207&lt;&gt;"",$G207&lt;&gt;"Done",$G207&lt;&gt;"Canceled",OR($L207="Yes",$H207&lt;=TODAY()+1,$F207="P0 Critical",$F207="P1 High",$G207="Blocked",$G207="Waiting on Others")),COUNT($R$5:R206)+1,"")</x:f>
      </x:c>
      <x:c r="S207" s="34" t="str">
        <x:f>IF(AND($B207&lt;&gt;"",$G207&lt;&gt;"Done",$G207&lt;&gt;"Canceled",OR($M207="Yes",$G207="Blocked",$G207="Waiting on Others")),COUNT($S$5:S206)+1,"")</x:f>
      </x:c>
    </x:row>
    <x:row r="208">
      <x:c r="A208" s="30"/>
      <x:c r="B208" s="30"/>
      <x:c r="C208" s="30"/>
      <x:c r="D208" s="30"/>
      <x:c r="E208" s="30"/>
      <x:c r="F208" s="30"/>
      <x:c r="G208" s="30"/>
      <x:c r="H208" s="31"/>
      <x:c r="I208" s="32"/>
      <x:c r="J208" s="33"/>
      <x:c r="K208" s="30"/>
      <x:c r="L208" s="30"/>
      <x:c r="M208" s="30"/>
      <x:c r="N208" s="30"/>
      <x:c r="O208" s="31"/>
      <x:c r="P208" s="30"/>
      <x:c r="Q208" s="30"/>
      <x:c r="R208" s="34" t="str">
        <x:f>IF(AND($B208&lt;&gt;"",$G208&lt;&gt;"Done",$G208&lt;&gt;"Canceled",OR($L208="Yes",$H208&lt;=TODAY()+1,$F208="P0 Critical",$F208="P1 High",$G208="Blocked",$G208="Waiting on Others")),COUNT($R$5:R207)+1,"")</x:f>
      </x:c>
      <x:c r="S208" s="34" t="str">
        <x:f>IF(AND($B208&lt;&gt;"",$G208&lt;&gt;"Done",$G208&lt;&gt;"Canceled",OR($M208="Yes",$G208="Blocked",$G208="Waiting on Others")),COUNT($S$5:S207)+1,"")</x:f>
      </x:c>
    </x:row>
    <x:row r="209">
      <x:c r="A209" s="30"/>
      <x:c r="B209" s="30"/>
      <x:c r="C209" s="30"/>
      <x:c r="D209" s="30"/>
      <x:c r="E209" s="30"/>
      <x:c r="F209" s="30"/>
      <x:c r="G209" s="30"/>
      <x:c r="H209" s="31"/>
      <x:c r="I209" s="32"/>
      <x:c r="J209" s="33"/>
      <x:c r="K209" s="30"/>
      <x:c r="L209" s="30"/>
      <x:c r="M209" s="30"/>
      <x:c r="N209" s="30"/>
      <x:c r="O209" s="31"/>
      <x:c r="P209" s="30"/>
      <x:c r="Q209" s="30"/>
      <x:c r="R209" s="34" t="str">
        <x:f>IF(AND($B209&lt;&gt;"",$G209&lt;&gt;"Done",$G209&lt;&gt;"Canceled",OR($L209="Yes",$H209&lt;=TODAY()+1,$F209="P0 Critical",$F209="P1 High",$G209="Blocked",$G209="Waiting on Others")),COUNT($R$5:R208)+1,"")</x:f>
      </x:c>
      <x:c r="S209" s="34" t="str">
        <x:f>IF(AND($B209&lt;&gt;"",$G209&lt;&gt;"Done",$G209&lt;&gt;"Canceled",OR($M209="Yes",$G209="Blocked",$G209="Waiting on Others")),COUNT($S$5:S208)+1,"")</x:f>
      </x:c>
    </x:row>
    <x:row r="210">
      <x:c r="A210" s="30"/>
      <x:c r="B210" s="30"/>
      <x:c r="C210" s="30"/>
      <x:c r="D210" s="30"/>
      <x:c r="E210" s="30"/>
      <x:c r="F210" s="30"/>
      <x:c r="G210" s="30"/>
      <x:c r="H210" s="31"/>
      <x:c r="I210" s="32"/>
      <x:c r="J210" s="33"/>
      <x:c r="K210" s="30"/>
      <x:c r="L210" s="30"/>
      <x:c r="M210" s="30"/>
      <x:c r="N210" s="30"/>
      <x:c r="O210" s="31"/>
      <x:c r="P210" s="30"/>
      <x:c r="Q210" s="30"/>
      <x:c r="R210" s="34" t="str">
        <x:f>IF(AND($B210&lt;&gt;"",$G210&lt;&gt;"Done",$G210&lt;&gt;"Canceled",OR($L210="Yes",$H210&lt;=TODAY()+1,$F210="P0 Critical",$F210="P1 High",$G210="Blocked",$G210="Waiting on Others")),COUNT($R$5:R209)+1,"")</x:f>
      </x:c>
      <x:c r="S210" s="34" t="str">
        <x:f>IF(AND($B210&lt;&gt;"",$G210&lt;&gt;"Done",$G210&lt;&gt;"Canceled",OR($M210="Yes",$G210="Blocked",$G210="Waiting on Others")),COUNT($S$5:S209)+1,"")</x:f>
      </x:c>
    </x:row>
    <x:row r="211">
      <x:c r="A211" s="30"/>
      <x:c r="B211" s="30"/>
      <x:c r="C211" s="30"/>
      <x:c r="D211" s="30"/>
      <x:c r="E211" s="30"/>
      <x:c r="F211" s="30"/>
      <x:c r="G211" s="30"/>
      <x:c r="H211" s="31"/>
      <x:c r="I211" s="32"/>
      <x:c r="J211" s="33"/>
      <x:c r="K211" s="30"/>
      <x:c r="L211" s="30"/>
      <x:c r="M211" s="30"/>
      <x:c r="N211" s="30"/>
      <x:c r="O211" s="31"/>
      <x:c r="P211" s="30"/>
      <x:c r="Q211" s="30"/>
      <x:c r="R211" s="34" t="str">
        <x:f>IF(AND($B211&lt;&gt;"",$G211&lt;&gt;"Done",$G211&lt;&gt;"Canceled",OR($L211="Yes",$H211&lt;=TODAY()+1,$F211="P0 Critical",$F211="P1 High",$G211="Blocked",$G211="Waiting on Others")),COUNT($R$5:R210)+1,"")</x:f>
      </x:c>
      <x:c r="S211" s="34" t="str">
        <x:f>IF(AND($B211&lt;&gt;"",$G211&lt;&gt;"Done",$G211&lt;&gt;"Canceled",OR($M211="Yes",$G211="Blocked",$G211="Waiting on Others")),COUNT($S$5:S210)+1,"")</x:f>
      </x:c>
    </x:row>
    <x:row r="212">
      <x:c r="A212" s="30"/>
      <x:c r="B212" s="30"/>
      <x:c r="C212" s="30"/>
      <x:c r="D212" s="30"/>
      <x:c r="E212" s="30"/>
      <x:c r="F212" s="30"/>
      <x:c r="G212" s="30"/>
      <x:c r="H212" s="31"/>
      <x:c r="I212" s="32"/>
      <x:c r="J212" s="33"/>
      <x:c r="K212" s="30"/>
      <x:c r="L212" s="30"/>
      <x:c r="M212" s="30"/>
      <x:c r="N212" s="30"/>
      <x:c r="O212" s="31"/>
      <x:c r="P212" s="30"/>
      <x:c r="Q212" s="30"/>
      <x:c r="R212" s="34" t="str">
        <x:f>IF(AND($B212&lt;&gt;"",$G212&lt;&gt;"Done",$G212&lt;&gt;"Canceled",OR($L212="Yes",$H212&lt;=TODAY()+1,$F212="P0 Critical",$F212="P1 High",$G212="Blocked",$G212="Waiting on Others")),COUNT($R$5:R211)+1,"")</x:f>
      </x:c>
      <x:c r="S212" s="34" t="str">
        <x:f>IF(AND($B212&lt;&gt;"",$G212&lt;&gt;"Done",$G212&lt;&gt;"Canceled",OR($M212="Yes",$G212="Blocked",$G212="Waiting on Others")),COUNT($S$5:S211)+1,"")</x:f>
      </x:c>
    </x:row>
    <x:row r="213">
      <x:c r="A213" s="30"/>
      <x:c r="B213" s="30"/>
      <x:c r="C213" s="30"/>
      <x:c r="D213" s="30"/>
      <x:c r="E213" s="30"/>
      <x:c r="F213" s="30"/>
      <x:c r="G213" s="30"/>
      <x:c r="H213" s="31"/>
      <x:c r="I213" s="32"/>
      <x:c r="J213" s="33"/>
      <x:c r="K213" s="30"/>
      <x:c r="L213" s="30"/>
      <x:c r="M213" s="30"/>
      <x:c r="N213" s="30"/>
      <x:c r="O213" s="31"/>
      <x:c r="P213" s="30"/>
      <x:c r="Q213" s="30"/>
      <x:c r="R213" s="34" t="str">
        <x:f>IF(AND($B213&lt;&gt;"",$G213&lt;&gt;"Done",$G213&lt;&gt;"Canceled",OR($L213="Yes",$H213&lt;=TODAY()+1,$F213="P0 Critical",$F213="P1 High",$G213="Blocked",$G213="Waiting on Others")),COUNT($R$5:R212)+1,"")</x:f>
      </x:c>
      <x:c r="S213" s="34" t="str">
        <x:f>IF(AND($B213&lt;&gt;"",$G213&lt;&gt;"Done",$G213&lt;&gt;"Canceled",OR($M213="Yes",$G213="Blocked",$G213="Waiting on Others")),COUNT($S$5:S212)+1,"")</x:f>
      </x:c>
    </x:row>
    <x:row r="214">
      <x:c r="A214" s="30"/>
      <x:c r="B214" s="30"/>
      <x:c r="C214" s="30"/>
      <x:c r="D214" s="30"/>
      <x:c r="E214" s="30"/>
      <x:c r="F214" s="30"/>
      <x:c r="G214" s="30"/>
      <x:c r="H214" s="31"/>
      <x:c r="I214" s="32"/>
      <x:c r="J214" s="33"/>
      <x:c r="K214" s="30"/>
      <x:c r="L214" s="30"/>
      <x:c r="M214" s="30"/>
      <x:c r="N214" s="30"/>
      <x:c r="O214" s="31"/>
      <x:c r="P214" s="30"/>
      <x:c r="Q214" s="30"/>
      <x:c r="R214" s="34" t="str">
        <x:f>IF(AND($B214&lt;&gt;"",$G214&lt;&gt;"Done",$G214&lt;&gt;"Canceled",OR($L214="Yes",$H214&lt;=TODAY()+1,$F214="P0 Critical",$F214="P1 High",$G214="Blocked",$G214="Waiting on Others")),COUNT($R$5:R213)+1,"")</x:f>
      </x:c>
      <x:c r="S214" s="34" t="str">
        <x:f>IF(AND($B214&lt;&gt;"",$G214&lt;&gt;"Done",$G214&lt;&gt;"Canceled",OR($M214="Yes",$G214="Blocked",$G214="Waiting on Others")),COUNT($S$5:S213)+1,"")</x:f>
      </x:c>
    </x:row>
    <x:row r="215">
      <x:c r="A215" s="30"/>
      <x:c r="B215" s="30"/>
      <x:c r="C215" s="30"/>
      <x:c r="D215" s="30"/>
      <x:c r="E215" s="30"/>
      <x:c r="F215" s="30"/>
      <x:c r="G215" s="30"/>
      <x:c r="H215" s="31"/>
      <x:c r="I215" s="32"/>
      <x:c r="J215" s="33"/>
      <x:c r="K215" s="30"/>
      <x:c r="L215" s="30"/>
      <x:c r="M215" s="30"/>
      <x:c r="N215" s="30"/>
      <x:c r="O215" s="31"/>
      <x:c r="P215" s="30"/>
      <x:c r="Q215" s="30"/>
      <x:c r="R215" s="34" t="str">
        <x:f>IF(AND($B215&lt;&gt;"",$G215&lt;&gt;"Done",$G215&lt;&gt;"Canceled",OR($L215="Yes",$H215&lt;=TODAY()+1,$F215="P0 Critical",$F215="P1 High",$G215="Blocked",$G215="Waiting on Others")),COUNT($R$5:R214)+1,"")</x:f>
      </x:c>
      <x:c r="S215" s="34" t="str">
        <x:f>IF(AND($B215&lt;&gt;"",$G215&lt;&gt;"Done",$G215&lt;&gt;"Canceled",OR($M215="Yes",$G215="Blocked",$G215="Waiting on Others")),COUNT($S$5:S214)+1,"")</x:f>
      </x:c>
    </x:row>
    <x:row r="216">
      <x:c r="A216" s="30"/>
      <x:c r="B216" s="30"/>
      <x:c r="C216" s="30"/>
      <x:c r="D216" s="30"/>
      <x:c r="E216" s="30"/>
      <x:c r="F216" s="30"/>
      <x:c r="G216" s="30"/>
      <x:c r="H216" s="31"/>
      <x:c r="I216" s="32"/>
      <x:c r="J216" s="33"/>
      <x:c r="K216" s="30"/>
      <x:c r="L216" s="30"/>
      <x:c r="M216" s="30"/>
      <x:c r="N216" s="30"/>
      <x:c r="O216" s="31"/>
      <x:c r="P216" s="30"/>
      <x:c r="Q216" s="30"/>
      <x:c r="R216" s="34" t="str">
        <x:f>IF(AND($B216&lt;&gt;"",$G216&lt;&gt;"Done",$G216&lt;&gt;"Canceled",OR($L216="Yes",$H216&lt;=TODAY()+1,$F216="P0 Critical",$F216="P1 High",$G216="Blocked",$G216="Waiting on Others")),COUNT($R$5:R215)+1,"")</x:f>
      </x:c>
      <x:c r="S216" s="34" t="str">
        <x:f>IF(AND($B216&lt;&gt;"",$G216&lt;&gt;"Done",$G216&lt;&gt;"Canceled",OR($M216="Yes",$G216="Blocked",$G216="Waiting on Others")),COUNT($S$5:S215)+1,"")</x:f>
      </x:c>
    </x:row>
    <x:row r="217">
      <x:c r="A217" s="30"/>
      <x:c r="B217" s="30"/>
      <x:c r="C217" s="30"/>
      <x:c r="D217" s="30"/>
      <x:c r="E217" s="30"/>
      <x:c r="F217" s="30"/>
      <x:c r="G217" s="30"/>
      <x:c r="H217" s="31"/>
      <x:c r="I217" s="32"/>
      <x:c r="J217" s="33"/>
      <x:c r="K217" s="30"/>
      <x:c r="L217" s="30"/>
      <x:c r="M217" s="30"/>
      <x:c r="N217" s="30"/>
      <x:c r="O217" s="31"/>
      <x:c r="P217" s="30"/>
      <x:c r="Q217" s="30"/>
      <x:c r="R217" s="34" t="str">
        <x:f>IF(AND($B217&lt;&gt;"",$G217&lt;&gt;"Done",$G217&lt;&gt;"Canceled",OR($L217="Yes",$H217&lt;=TODAY()+1,$F217="P0 Critical",$F217="P1 High",$G217="Blocked",$G217="Waiting on Others")),COUNT($R$5:R216)+1,"")</x:f>
      </x:c>
      <x:c r="S217" s="34" t="str">
        <x:f>IF(AND($B217&lt;&gt;"",$G217&lt;&gt;"Done",$G217&lt;&gt;"Canceled",OR($M217="Yes",$G217="Blocked",$G217="Waiting on Others")),COUNT($S$5:S216)+1,"")</x:f>
      </x:c>
    </x:row>
    <x:row r="218">
      <x:c r="A218" s="30"/>
      <x:c r="B218" s="30"/>
      <x:c r="C218" s="30"/>
      <x:c r="D218" s="30"/>
      <x:c r="E218" s="30"/>
      <x:c r="F218" s="30"/>
      <x:c r="G218" s="30"/>
      <x:c r="H218" s="31"/>
      <x:c r="I218" s="32"/>
      <x:c r="J218" s="33"/>
      <x:c r="K218" s="30"/>
      <x:c r="L218" s="30"/>
      <x:c r="M218" s="30"/>
      <x:c r="N218" s="30"/>
      <x:c r="O218" s="31"/>
      <x:c r="P218" s="30"/>
      <x:c r="Q218" s="30"/>
      <x:c r="R218" s="34" t="str">
        <x:f>IF(AND($B218&lt;&gt;"",$G218&lt;&gt;"Done",$G218&lt;&gt;"Canceled",OR($L218="Yes",$H218&lt;=TODAY()+1,$F218="P0 Critical",$F218="P1 High",$G218="Blocked",$G218="Waiting on Others")),COUNT($R$5:R217)+1,"")</x:f>
      </x:c>
      <x:c r="S218" s="34" t="str">
        <x:f>IF(AND($B218&lt;&gt;"",$G218&lt;&gt;"Done",$G218&lt;&gt;"Canceled",OR($M218="Yes",$G218="Blocked",$G218="Waiting on Others")),COUNT($S$5:S217)+1,"")</x:f>
      </x:c>
    </x:row>
    <x:row r="219">
      <x:c r="A219" s="30"/>
      <x:c r="B219" s="30"/>
      <x:c r="C219" s="30"/>
      <x:c r="D219" s="30"/>
      <x:c r="E219" s="30"/>
      <x:c r="F219" s="30"/>
      <x:c r="G219" s="30"/>
      <x:c r="H219" s="31"/>
      <x:c r="I219" s="32"/>
      <x:c r="J219" s="33"/>
      <x:c r="K219" s="30"/>
      <x:c r="L219" s="30"/>
      <x:c r="M219" s="30"/>
      <x:c r="N219" s="30"/>
      <x:c r="O219" s="31"/>
      <x:c r="P219" s="30"/>
      <x:c r="Q219" s="30"/>
      <x:c r="R219" s="34" t="str">
        <x:f>IF(AND($B219&lt;&gt;"",$G219&lt;&gt;"Done",$G219&lt;&gt;"Canceled",OR($L219="Yes",$H219&lt;=TODAY()+1,$F219="P0 Critical",$F219="P1 High",$G219="Blocked",$G219="Waiting on Others")),COUNT($R$5:R218)+1,"")</x:f>
      </x:c>
      <x:c r="S219" s="34" t="str">
        <x:f>IF(AND($B219&lt;&gt;"",$G219&lt;&gt;"Done",$G219&lt;&gt;"Canceled",OR($M219="Yes",$G219="Blocked",$G219="Waiting on Others")),COUNT($S$5:S218)+1,"")</x:f>
      </x:c>
    </x:row>
    <x:row r="220">
      <x:c r="A220" s="30"/>
      <x:c r="B220" s="30"/>
      <x:c r="C220" s="30"/>
      <x:c r="D220" s="30"/>
      <x:c r="E220" s="30"/>
      <x:c r="F220" s="30"/>
      <x:c r="G220" s="30"/>
      <x:c r="H220" s="31"/>
      <x:c r="I220" s="32"/>
      <x:c r="J220" s="33"/>
      <x:c r="K220" s="30"/>
      <x:c r="L220" s="30"/>
      <x:c r="M220" s="30"/>
      <x:c r="N220" s="30"/>
      <x:c r="O220" s="31"/>
      <x:c r="P220" s="30"/>
      <x:c r="Q220" s="30"/>
      <x:c r="R220" s="34" t="str">
        <x:f>IF(AND($B220&lt;&gt;"",$G220&lt;&gt;"Done",$G220&lt;&gt;"Canceled",OR($L220="Yes",$H220&lt;=TODAY()+1,$F220="P0 Critical",$F220="P1 High",$G220="Blocked",$G220="Waiting on Others")),COUNT($R$5:R219)+1,"")</x:f>
      </x:c>
      <x:c r="S220" s="34" t="str">
        <x:f>IF(AND($B220&lt;&gt;"",$G220&lt;&gt;"Done",$G220&lt;&gt;"Canceled",OR($M220="Yes",$G220="Blocked",$G220="Waiting on Others")),COUNT($S$5:S219)+1,"")</x:f>
      </x:c>
    </x:row>
    <x:row r="221">
      <x:c r="A221" s="30"/>
      <x:c r="B221" s="30"/>
      <x:c r="C221" s="30"/>
      <x:c r="D221" s="30"/>
      <x:c r="E221" s="30"/>
      <x:c r="F221" s="30"/>
      <x:c r="G221" s="30"/>
      <x:c r="H221" s="31"/>
      <x:c r="I221" s="32"/>
      <x:c r="J221" s="33"/>
      <x:c r="K221" s="30"/>
      <x:c r="L221" s="30"/>
      <x:c r="M221" s="30"/>
      <x:c r="N221" s="30"/>
      <x:c r="O221" s="31"/>
      <x:c r="P221" s="30"/>
      <x:c r="Q221" s="30"/>
      <x:c r="R221" s="34" t="str">
        <x:f>IF(AND($B221&lt;&gt;"",$G221&lt;&gt;"Done",$G221&lt;&gt;"Canceled",OR($L221="Yes",$H221&lt;=TODAY()+1,$F221="P0 Critical",$F221="P1 High",$G221="Blocked",$G221="Waiting on Others")),COUNT($R$5:R220)+1,"")</x:f>
      </x:c>
      <x:c r="S221" s="34" t="str">
        <x:f>IF(AND($B221&lt;&gt;"",$G221&lt;&gt;"Done",$G221&lt;&gt;"Canceled",OR($M221="Yes",$G221="Blocked",$G221="Waiting on Others")),COUNT($S$5:S220)+1,"")</x:f>
      </x:c>
    </x:row>
    <x:row r="222">
      <x:c r="A222" s="30"/>
      <x:c r="B222" s="30"/>
      <x:c r="C222" s="30"/>
      <x:c r="D222" s="30"/>
      <x:c r="E222" s="30"/>
      <x:c r="F222" s="30"/>
      <x:c r="G222" s="30"/>
      <x:c r="H222" s="31"/>
      <x:c r="I222" s="32"/>
      <x:c r="J222" s="33"/>
      <x:c r="K222" s="30"/>
      <x:c r="L222" s="30"/>
      <x:c r="M222" s="30"/>
      <x:c r="N222" s="30"/>
      <x:c r="O222" s="31"/>
      <x:c r="P222" s="30"/>
      <x:c r="Q222" s="30"/>
      <x:c r="R222" s="34" t="str">
        <x:f>IF(AND($B222&lt;&gt;"",$G222&lt;&gt;"Done",$G222&lt;&gt;"Canceled",OR($L222="Yes",$H222&lt;=TODAY()+1,$F222="P0 Critical",$F222="P1 High",$G222="Blocked",$G222="Waiting on Others")),COUNT($R$5:R221)+1,"")</x:f>
      </x:c>
      <x:c r="S222" s="34" t="str">
        <x:f>IF(AND($B222&lt;&gt;"",$G222&lt;&gt;"Done",$G222&lt;&gt;"Canceled",OR($M222="Yes",$G222="Blocked",$G222="Waiting on Others")),COUNT($S$5:S221)+1,"")</x:f>
      </x:c>
    </x:row>
    <x:row r="223">
      <x:c r="A223" s="30"/>
      <x:c r="B223" s="30"/>
      <x:c r="C223" s="30"/>
      <x:c r="D223" s="30"/>
      <x:c r="E223" s="30"/>
      <x:c r="F223" s="30"/>
      <x:c r="G223" s="30"/>
      <x:c r="H223" s="31"/>
      <x:c r="I223" s="32"/>
      <x:c r="J223" s="33"/>
      <x:c r="K223" s="30"/>
      <x:c r="L223" s="30"/>
      <x:c r="M223" s="30"/>
      <x:c r="N223" s="30"/>
      <x:c r="O223" s="31"/>
      <x:c r="P223" s="30"/>
      <x:c r="Q223" s="30"/>
      <x:c r="R223" s="34" t="str">
        <x:f>IF(AND($B223&lt;&gt;"",$G223&lt;&gt;"Done",$G223&lt;&gt;"Canceled",OR($L223="Yes",$H223&lt;=TODAY()+1,$F223="P0 Critical",$F223="P1 High",$G223="Blocked",$G223="Waiting on Others")),COUNT($R$5:R222)+1,"")</x:f>
      </x:c>
      <x:c r="S223" s="34" t="str">
        <x:f>IF(AND($B223&lt;&gt;"",$G223&lt;&gt;"Done",$G223&lt;&gt;"Canceled",OR($M223="Yes",$G223="Blocked",$G223="Waiting on Others")),COUNT($S$5:S222)+1,"")</x:f>
      </x:c>
    </x:row>
    <x:row r="224">
      <x:c r="A224" s="30"/>
      <x:c r="B224" s="30"/>
      <x:c r="C224" s="30"/>
      <x:c r="D224" s="30"/>
      <x:c r="E224" s="30"/>
      <x:c r="F224" s="30"/>
      <x:c r="G224" s="30"/>
      <x:c r="H224" s="31"/>
      <x:c r="I224" s="32"/>
      <x:c r="J224" s="33"/>
      <x:c r="K224" s="30"/>
      <x:c r="L224" s="30"/>
      <x:c r="M224" s="30"/>
      <x:c r="N224" s="30"/>
      <x:c r="O224" s="31"/>
      <x:c r="P224" s="30"/>
      <x:c r="Q224" s="30"/>
      <x:c r="R224" s="34" t="str">
        <x:f>IF(AND($B224&lt;&gt;"",$G224&lt;&gt;"Done",$G224&lt;&gt;"Canceled",OR($L224="Yes",$H224&lt;=TODAY()+1,$F224="P0 Critical",$F224="P1 High",$G224="Blocked",$G224="Waiting on Others")),COUNT($R$5:R223)+1,"")</x:f>
      </x:c>
      <x:c r="S224" s="34" t="str">
        <x:f>IF(AND($B224&lt;&gt;"",$G224&lt;&gt;"Done",$G224&lt;&gt;"Canceled",OR($M224="Yes",$G224="Blocked",$G224="Waiting on Others")),COUNT($S$5:S223)+1,"")</x:f>
      </x:c>
    </x:row>
    <x:row r="225">
      <x:c r="A225" s="30"/>
      <x:c r="B225" s="30"/>
      <x:c r="C225" s="30"/>
      <x:c r="D225" s="30"/>
      <x:c r="E225" s="30"/>
      <x:c r="F225" s="30"/>
      <x:c r="G225" s="30"/>
      <x:c r="H225" s="31"/>
      <x:c r="I225" s="32"/>
      <x:c r="J225" s="33"/>
      <x:c r="K225" s="30"/>
      <x:c r="L225" s="30"/>
      <x:c r="M225" s="30"/>
      <x:c r="N225" s="30"/>
      <x:c r="O225" s="31"/>
      <x:c r="P225" s="30"/>
      <x:c r="Q225" s="30"/>
      <x:c r="R225" s="34" t="str">
        <x:f>IF(AND($B225&lt;&gt;"",$G225&lt;&gt;"Done",$G225&lt;&gt;"Canceled",OR($L225="Yes",$H225&lt;=TODAY()+1,$F225="P0 Critical",$F225="P1 High",$G225="Blocked",$G225="Waiting on Others")),COUNT($R$5:R224)+1,"")</x:f>
      </x:c>
      <x:c r="S225" s="34" t="str">
        <x:f>IF(AND($B225&lt;&gt;"",$G225&lt;&gt;"Done",$G225&lt;&gt;"Canceled",OR($M225="Yes",$G225="Blocked",$G225="Waiting on Others")),COUNT($S$5:S224)+1,"")</x:f>
      </x:c>
    </x:row>
    <x:row r="226">
      <x:c r="A226" s="30"/>
      <x:c r="B226" s="30"/>
      <x:c r="C226" s="30"/>
      <x:c r="D226" s="30"/>
      <x:c r="E226" s="30"/>
      <x:c r="F226" s="30"/>
      <x:c r="G226" s="30"/>
      <x:c r="H226" s="31"/>
      <x:c r="I226" s="32"/>
      <x:c r="J226" s="33"/>
      <x:c r="K226" s="30"/>
      <x:c r="L226" s="30"/>
      <x:c r="M226" s="30"/>
      <x:c r="N226" s="30"/>
      <x:c r="O226" s="31"/>
      <x:c r="P226" s="30"/>
      <x:c r="Q226" s="30"/>
      <x:c r="R226" s="34" t="str">
        <x:f>IF(AND($B226&lt;&gt;"",$G226&lt;&gt;"Done",$G226&lt;&gt;"Canceled",OR($L226="Yes",$H226&lt;=TODAY()+1,$F226="P0 Critical",$F226="P1 High",$G226="Blocked",$G226="Waiting on Others")),COUNT($R$5:R225)+1,"")</x:f>
      </x:c>
      <x:c r="S226" s="34" t="str">
        <x:f>IF(AND($B226&lt;&gt;"",$G226&lt;&gt;"Done",$G226&lt;&gt;"Canceled",OR($M226="Yes",$G226="Blocked",$G226="Waiting on Others")),COUNT($S$5:S225)+1,"")</x:f>
      </x:c>
    </x:row>
    <x:row r="227">
      <x:c r="A227" s="30"/>
      <x:c r="B227" s="30"/>
      <x:c r="C227" s="30"/>
      <x:c r="D227" s="30"/>
      <x:c r="E227" s="30"/>
      <x:c r="F227" s="30"/>
      <x:c r="G227" s="30"/>
      <x:c r="H227" s="31"/>
      <x:c r="I227" s="32"/>
      <x:c r="J227" s="33"/>
      <x:c r="K227" s="30"/>
      <x:c r="L227" s="30"/>
      <x:c r="M227" s="30"/>
      <x:c r="N227" s="30"/>
      <x:c r="O227" s="31"/>
      <x:c r="P227" s="30"/>
      <x:c r="Q227" s="30"/>
      <x:c r="R227" s="34" t="str">
        <x:f>IF(AND($B227&lt;&gt;"",$G227&lt;&gt;"Done",$G227&lt;&gt;"Canceled",OR($L227="Yes",$H227&lt;=TODAY()+1,$F227="P0 Critical",$F227="P1 High",$G227="Blocked",$G227="Waiting on Others")),COUNT($R$5:R226)+1,"")</x:f>
      </x:c>
      <x:c r="S227" s="34" t="str">
        <x:f>IF(AND($B227&lt;&gt;"",$G227&lt;&gt;"Done",$G227&lt;&gt;"Canceled",OR($M227="Yes",$G227="Blocked",$G227="Waiting on Others")),COUNT($S$5:S226)+1,"")</x:f>
      </x:c>
    </x:row>
    <x:row r="228">
      <x:c r="A228" s="30"/>
      <x:c r="B228" s="30"/>
      <x:c r="C228" s="30"/>
      <x:c r="D228" s="30"/>
      <x:c r="E228" s="30"/>
      <x:c r="F228" s="30"/>
      <x:c r="G228" s="30"/>
      <x:c r="H228" s="31"/>
      <x:c r="I228" s="32"/>
      <x:c r="J228" s="33"/>
      <x:c r="K228" s="30"/>
      <x:c r="L228" s="30"/>
      <x:c r="M228" s="30"/>
      <x:c r="N228" s="30"/>
      <x:c r="O228" s="31"/>
      <x:c r="P228" s="30"/>
      <x:c r="Q228" s="30"/>
      <x:c r="R228" s="34" t="str">
        <x:f>IF(AND($B228&lt;&gt;"",$G228&lt;&gt;"Done",$G228&lt;&gt;"Canceled",OR($L228="Yes",$H228&lt;=TODAY()+1,$F228="P0 Critical",$F228="P1 High",$G228="Blocked",$G228="Waiting on Others")),COUNT($R$5:R227)+1,"")</x:f>
      </x:c>
      <x:c r="S228" s="34" t="str">
        <x:f>IF(AND($B228&lt;&gt;"",$G228&lt;&gt;"Done",$G228&lt;&gt;"Canceled",OR($M228="Yes",$G228="Blocked",$G228="Waiting on Others")),COUNT($S$5:S227)+1,"")</x:f>
      </x:c>
    </x:row>
    <x:row r="229">
      <x:c r="A229" s="30"/>
      <x:c r="B229" s="30"/>
      <x:c r="C229" s="30"/>
      <x:c r="D229" s="30"/>
      <x:c r="E229" s="30"/>
      <x:c r="F229" s="30"/>
      <x:c r="G229" s="30"/>
      <x:c r="H229" s="31"/>
      <x:c r="I229" s="32"/>
      <x:c r="J229" s="33"/>
      <x:c r="K229" s="30"/>
      <x:c r="L229" s="30"/>
      <x:c r="M229" s="30"/>
      <x:c r="N229" s="30"/>
      <x:c r="O229" s="31"/>
      <x:c r="P229" s="30"/>
      <x:c r="Q229" s="30"/>
      <x:c r="R229" s="34" t="str">
        <x:f>IF(AND($B229&lt;&gt;"",$G229&lt;&gt;"Done",$G229&lt;&gt;"Canceled",OR($L229="Yes",$H229&lt;=TODAY()+1,$F229="P0 Critical",$F229="P1 High",$G229="Blocked",$G229="Waiting on Others")),COUNT($R$5:R228)+1,"")</x:f>
      </x:c>
      <x:c r="S229" s="34" t="str">
        <x:f>IF(AND($B229&lt;&gt;"",$G229&lt;&gt;"Done",$G229&lt;&gt;"Canceled",OR($M229="Yes",$G229="Blocked",$G229="Waiting on Others")),COUNT($S$5:S228)+1,"")</x:f>
      </x:c>
    </x:row>
    <x:row r="230">
      <x:c r="A230" s="30"/>
      <x:c r="B230" s="30"/>
      <x:c r="C230" s="30"/>
      <x:c r="D230" s="30"/>
      <x:c r="E230" s="30"/>
      <x:c r="F230" s="30"/>
      <x:c r="G230" s="30"/>
      <x:c r="H230" s="31"/>
      <x:c r="I230" s="32"/>
      <x:c r="J230" s="33"/>
      <x:c r="K230" s="30"/>
      <x:c r="L230" s="30"/>
      <x:c r="M230" s="30"/>
      <x:c r="N230" s="30"/>
      <x:c r="O230" s="31"/>
      <x:c r="P230" s="30"/>
      <x:c r="Q230" s="30"/>
      <x:c r="R230" s="34" t="str">
        <x:f>IF(AND($B230&lt;&gt;"",$G230&lt;&gt;"Done",$G230&lt;&gt;"Canceled",OR($L230="Yes",$H230&lt;=TODAY()+1,$F230="P0 Critical",$F230="P1 High",$G230="Blocked",$G230="Waiting on Others")),COUNT($R$5:R229)+1,"")</x:f>
      </x:c>
      <x:c r="S230" s="34" t="str">
        <x:f>IF(AND($B230&lt;&gt;"",$G230&lt;&gt;"Done",$G230&lt;&gt;"Canceled",OR($M230="Yes",$G230="Blocked",$G230="Waiting on Others")),COUNT($S$5:S229)+1,"")</x:f>
      </x:c>
    </x:row>
    <x:row r="231">
      <x:c r="A231" s="30"/>
      <x:c r="B231" s="30"/>
      <x:c r="C231" s="30"/>
      <x:c r="D231" s="30"/>
      <x:c r="E231" s="30"/>
      <x:c r="F231" s="30"/>
      <x:c r="G231" s="30"/>
      <x:c r="H231" s="31"/>
      <x:c r="I231" s="32"/>
      <x:c r="J231" s="33"/>
      <x:c r="K231" s="30"/>
      <x:c r="L231" s="30"/>
      <x:c r="M231" s="30"/>
      <x:c r="N231" s="30"/>
      <x:c r="O231" s="31"/>
      <x:c r="P231" s="30"/>
      <x:c r="Q231" s="30"/>
      <x:c r="R231" s="34" t="str">
        <x:f>IF(AND($B231&lt;&gt;"",$G231&lt;&gt;"Done",$G231&lt;&gt;"Canceled",OR($L231="Yes",$H231&lt;=TODAY()+1,$F231="P0 Critical",$F231="P1 High",$G231="Blocked",$G231="Waiting on Others")),COUNT($R$5:R230)+1,"")</x:f>
      </x:c>
      <x:c r="S231" s="34" t="str">
        <x:f>IF(AND($B231&lt;&gt;"",$G231&lt;&gt;"Done",$G231&lt;&gt;"Canceled",OR($M231="Yes",$G231="Blocked",$G231="Waiting on Others")),COUNT($S$5:S230)+1,"")</x:f>
      </x:c>
    </x:row>
    <x:row r="232">
      <x:c r="A232" s="30"/>
      <x:c r="B232" s="30"/>
      <x:c r="C232" s="30"/>
      <x:c r="D232" s="30"/>
      <x:c r="E232" s="30"/>
      <x:c r="F232" s="30"/>
      <x:c r="G232" s="30"/>
      <x:c r="H232" s="31"/>
      <x:c r="I232" s="32"/>
      <x:c r="J232" s="33"/>
      <x:c r="K232" s="30"/>
      <x:c r="L232" s="30"/>
      <x:c r="M232" s="30"/>
      <x:c r="N232" s="30"/>
      <x:c r="O232" s="31"/>
      <x:c r="P232" s="30"/>
      <x:c r="Q232" s="30"/>
      <x:c r="R232" s="34" t="str">
        <x:f>IF(AND($B232&lt;&gt;"",$G232&lt;&gt;"Done",$G232&lt;&gt;"Canceled",OR($L232="Yes",$H232&lt;=TODAY()+1,$F232="P0 Critical",$F232="P1 High",$G232="Blocked",$G232="Waiting on Others")),COUNT($R$5:R231)+1,"")</x:f>
      </x:c>
      <x:c r="S232" s="34" t="str">
        <x:f>IF(AND($B232&lt;&gt;"",$G232&lt;&gt;"Done",$G232&lt;&gt;"Canceled",OR($M232="Yes",$G232="Blocked",$G232="Waiting on Others")),COUNT($S$5:S231)+1,"")</x:f>
      </x:c>
    </x:row>
    <x:row r="233">
      <x:c r="A233" s="30"/>
      <x:c r="B233" s="30"/>
      <x:c r="C233" s="30"/>
      <x:c r="D233" s="30"/>
      <x:c r="E233" s="30"/>
      <x:c r="F233" s="30"/>
      <x:c r="G233" s="30"/>
      <x:c r="H233" s="31"/>
      <x:c r="I233" s="32"/>
      <x:c r="J233" s="33"/>
      <x:c r="K233" s="30"/>
      <x:c r="L233" s="30"/>
      <x:c r="M233" s="30"/>
      <x:c r="N233" s="30"/>
      <x:c r="O233" s="31"/>
      <x:c r="P233" s="30"/>
      <x:c r="Q233" s="30"/>
      <x:c r="R233" s="34" t="str">
        <x:f>IF(AND($B233&lt;&gt;"",$G233&lt;&gt;"Done",$G233&lt;&gt;"Canceled",OR($L233="Yes",$H233&lt;=TODAY()+1,$F233="P0 Critical",$F233="P1 High",$G233="Blocked",$G233="Waiting on Others")),COUNT($R$5:R232)+1,"")</x:f>
      </x:c>
      <x:c r="S233" s="34" t="str">
        <x:f>IF(AND($B233&lt;&gt;"",$G233&lt;&gt;"Done",$G233&lt;&gt;"Canceled",OR($M233="Yes",$G233="Blocked",$G233="Waiting on Others")),COUNT($S$5:S232)+1,"")</x:f>
      </x:c>
    </x:row>
    <x:row r="234">
      <x:c r="A234" s="30"/>
      <x:c r="B234" s="30"/>
      <x:c r="C234" s="30"/>
      <x:c r="D234" s="30"/>
      <x:c r="E234" s="30"/>
      <x:c r="F234" s="30"/>
      <x:c r="G234" s="30"/>
      <x:c r="H234" s="31"/>
      <x:c r="I234" s="32"/>
      <x:c r="J234" s="33"/>
      <x:c r="K234" s="30"/>
      <x:c r="L234" s="30"/>
      <x:c r="M234" s="30"/>
      <x:c r="N234" s="30"/>
      <x:c r="O234" s="31"/>
      <x:c r="P234" s="30"/>
      <x:c r="Q234" s="30"/>
      <x:c r="R234" s="34" t="str">
        <x:f>IF(AND($B234&lt;&gt;"",$G234&lt;&gt;"Done",$G234&lt;&gt;"Canceled",OR($L234="Yes",$H234&lt;=TODAY()+1,$F234="P0 Critical",$F234="P1 High",$G234="Blocked",$G234="Waiting on Others")),COUNT($R$5:R233)+1,"")</x:f>
      </x:c>
      <x:c r="S234" s="34" t="str">
        <x:f>IF(AND($B234&lt;&gt;"",$G234&lt;&gt;"Done",$G234&lt;&gt;"Canceled",OR($M234="Yes",$G234="Blocked",$G234="Waiting on Others")),COUNT($S$5:S233)+1,"")</x:f>
      </x:c>
    </x:row>
    <x:row r="235">
      <x:c r="A235" s="30"/>
      <x:c r="B235" s="30"/>
      <x:c r="C235" s="30"/>
      <x:c r="D235" s="30"/>
      <x:c r="E235" s="30"/>
      <x:c r="F235" s="30"/>
      <x:c r="G235" s="30"/>
      <x:c r="H235" s="31"/>
      <x:c r="I235" s="32"/>
      <x:c r="J235" s="33"/>
      <x:c r="K235" s="30"/>
      <x:c r="L235" s="30"/>
      <x:c r="M235" s="30"/>
      <x:c r="N235" s="30"/>
      <x:c r="O235" s="31"/>
      <x:c r="P235" s="30"/>
      <x:c r="Q235" s="30"/>
      <x:c r="R235" s="34" t="str">
        <x:f>IF(AND($B235&lt;&gt;"",$G235&lt;&gt;"Done",$G235&lt;&gt;"Canceled",OR($L235="Yes",$H235&lt;=TODAY()+1,$F235="P0 Critical",$F235="P1 High",$G235="Blocked",$G235="Waiting on Others")),COUNT($R$5:R234)+1,"")</x:f>
      </x:c>
      <x:c r="S235" s="34" t="str">
        <x:f>IF(AND($B235&lt;&gt;"",$G235&lt;&gt;"Done",$G235&lt;&gt;"Canceled",OR($M235="Yes",$G235="Blocked",$G235="Waiting on Others")),COUNT($S$5:S234)+1,"")</x:f>
      </x:c>
    </x:row>
    <x:row r="236">
      <x:c r="A236" s="30"/>
      <x:c r="B236" s="30"/>
      <x:c r="C236" s="30"/>
      <x:c r="D236" s="30"/>
      <x:c r="E236" s="30"/>
      <x:c r="F236" s="30"/>
      <x:c r="G236" s="30"/>
      <x:c r="H236" s="31"/>
      <x:c r="I236" s="32"/>
      <x:c r="J236" s="33"/>
      <x:c r="K236" s="30"/>
      <x:c r="L236" s="30"/>
      <x:c r="M236" s="30"/>
      <x:c r="N236" s="30"/>
      <x:c r="O236" s="31"/>
      <x:c r="P236" s="30"/>
      <x:c r="Q236" s="30"/>
      <x:c r="R236" s="34" t="str">
        <x:f>IF(AND($B236&lt;&gt;"",$G236&lt;&gt;"Done",$G236&lt;&gt;"Canceled",OR($L236="Yes",$H236&lt;=TODAY()+1,$F236="P0 Critical",$F236="P1 High",$G236="Blocked",$G236="Waiting on Others")),COUNT($R$5:R235)+1,"")</x:f>
      </x:c>
      <x:c r="S236" s="34" t="str">
        <x:f>IF(AND($B236&lt;&gt;"",$G236&lt;&gt;"Done",$G236&lt;&gt;"Canceled",OR($M236="Yes",$G236="Blocked",$G236="Waiting on Others")),COUNT($S$5:S235)+1,"")</x:f>
      </x:c>
    </x:row>
    <x:row r="237">
      <x:c r="A237" s="30"/>
      <x:c r="B237" s="30"/>
      <x:c r="C237" s="30"/>
      <x:c r="D237" s="30"/>
      <x:c r="E237" s="30"/>
      <x:c r="F237" s="30"/>
      <x:c r="G237" s="30"/>
      <x:c r="H237" s="31"/>
      <x:c r="I237" s="32"/>
      <x:c r="J237" s="33"/>
      <x:c r="K237" s="30"/>
      <x:c r="L237" s="30"/>
      <x:c r="M237" s="30"/>
      <x:c r="N237" s="30"/>
      <x:c r="O237" s="31"/>
      <x:c r="P237" s="30"/>
      <x:c r="Q237" s="30"/>
      <x:c r="R237" s="34" t="str">
        <x:f>IF(AND($B237&lt;&gt;"",$G237&lt;&gt;"Done",$G237&lt;&gt;"Canceled",OR($L237="Yes",$H237&lt;=TODAY()+1,$F237="P0 Critical",$F237="P1 High",$G237="Blocked",$G237="Waiting on Others")),COUNT($R$5:R236)+1,"")</x:f>
      </x:c>
      <x:c r="S237" s="34" t="str">
        <x:f>IF(AND($B237&lt;&gt;"",$G237&lt;&gt;"Done",$G237&lt;&gt;"Canceled",OR($M237="Yes",$G237="Blocked",$G237="Waiting on Others")),COUNT($S$5:S236)+1,"")</x:f>
      </x:c>
    </x:row>
    <x:row r="238">
      <x:c r="A238" s="30"/>
      <x:c r="B238" s="30"/>
      <x:c r="C238" s="30"/>
      <x:c r="D238" s="30"/>
      <x:c r="E238" s="30"/>
      <x:c r="F238" s="30"/>
      <x:c r="G238" s="30"/>
      <x:c r="H238" s="31"/>
      <x:c r="I238" s="32"/>
      <x:c r="J238" s="33"/>
      <x:c r="K238" s="30"/>
      <x:c r="L238" s="30"/>
      <x:c r="M238" s="30"/>
      <x:c r="N238" s="30"/>
      <x:c r="O238" s="31"/>
      <x:c r="P238" s="30"/>
      <x:c r="Q238" s="30"/>
      <x:c r="R238" s="34" t="str">
        <x:f>IF(AND($B238&lt;&gt;"",$G238&lt;&gt;"Done",$G238&lt;&gt;"Canceled",OR($L238="Yes",$H238&lt;=TODAY()+1,$F238="P0 Critical",$F238="P1 High",$G238="Blocked",$G238="Waiting on Others")),COUNT($R$5:R237)+1,"")</x:f>
      </x:c>
      <x:c r="S238" s="34" t="str">
        <x:f>IF(AND($B238&lt;&gt;"",$G238&lt;&gt;"Done",$G238&lt;&gt;"Canceled",OR($M238="Yes",$G238="Blocked",$G238="Waiting on Others")),COUNT($S$5:S237)+1,"")</x:f>
      </x:c>
    </x:row>
    <x:row r="239">
      <x:c r="A239" s="30"/>
      <x:c r="B239" s="30"/>
      <x:c r="C239" s="30"/>
      <x:c r="D239" s="30"/>
      <x:c r="E239" s="30"/>
      <x:c r="F239" s="30"/>
      <x:c r="G239" s="30"/>
      <x:c r="H239" s="31"/>
      <x:c r="I239" s="32"/>
      <x:c r="J239" s="33"/>
      <x:c r="K239" s="30"/>
      <x:c r="L239" s="30"/>
      <x:c r="M239" s="30"/>
      <x:c r="N239" s="30"/>
      <x:c r="O239" s="31"/>
      <x:c r="P239" s="30"/>
      <x:c r="Q239" s="30"/>
      <x:c r="R239" s="34" t="str">
        <x:f>IF(AND($B239&lt;&gt;"",$G239&lt;&gt;"Done",$G239&lt;&gt;"Canceled",OR($L239="Yes",$H239&lt;=TODAY()+1,$F239="P0 Critical",$F239="P1 High",$G239="Blocked",$G239="Waiting on Others")),COUNT($R$5:R238)+1,"")</x:f>
      </x:c>
      <x:c r="S239" s="34" t="str">
        <x:f>IF(AND($B239&lt;&gt;"",$G239&lt;&gt;"Done",$G239&lt;&gt;"Canceled",OR($M239="Yes",$G239="Blocked",$G239="Waiting on Others")),COUNT($S$5:S238)+1,"")</x:f>
      </x:c>
    </x:row>
    <x:row r="240">
      <x:c r="A240" s="30"/>
      <x:c r="B240" s="30"/>
      <x:c r="C240" s="30"/>
      <x:c r="D240" s="30"/>
      <x:c r="E240" s="30"/>
      <x:c r="F240" s="30"/>
      <x:c r="G240" s="30"/>
      <x:c r="H240" s="31"/>
      <x:c r="I240" s="32"/>
      <x:c r="J240" s="33"/>
      <x:c r="K240" s="30"/>
      <x:c r="L240" s="30"/>
      <x:c r="M240" s="30"/>
      <x:c r="N240" s="30"/>
      <x:c r="O240" s="31"/>
      <x:c r="P240" s="30"/>
      <x:c r="Q240" s="30"/>
      <x:c r="R240" s="34" t="str">
        <x:f>IF(AND($B240&lt;&gt;"",$G240&lt;&gt;"Done",$G240&lt;&gt;"Canceled",OR($L240="Yes",$H240&lt;=TODAY()+1,$F240="P0 Critical",$F240="P1 High",$G240="Blocked",$G240="Waiting on Others")),COUNT($R$5:R239)+1,"")</x:f>
      </x:c>
      <x:c r="S240" s="34" t="str">
        <x:f>IF(AND($B240&lt;&gt;"",$G240&lt;&gt;"Done",$G240&lt;&gt;"Canceled",OR($M240="Yes",$G240="Blocked",$G240="Waiting on Others")),COUNT($S$5:S239)+1,"")</x:f>
      </x:c>
    </x:row>
    <x:row r="241">
      <x:c r="A241" s="30"/>
      <x:c r="B241" s="30"/>
      <x:c r="C241" s="30"/>
      <x:c r="D241" s="30"/>
      <x:c r="E241" s="30"/>
      <x:c r="F241" s="30"/>
      <x:c r="G241" s="30"/>
      <x:c r="H241" s="31"/>
      <x:c r="I241" s="32"/>
      <x:c r="J241" s="33"/>
      <x:c r="K241" s="30"/>
      <x:c r="L241" s="30"/>
      <x:c r="M241" s="30"/>
      <x:c r="N241" s="30"/>
      <x:c r="O241" s="31"/>
      <x:c r="P241" s="30"/>
      <x:c r="Q241" s="30"/>
      <x:c r="R241" s="34" t="str">
        <x:f>IF(AND($B241&lt;&gt;"",$G241&lt;&gt;"Done",$G241&lt;&gt;"Canceled",OR($L241="Yes",$H241&lt;=TODAY()+1,$F241="P0 Critical",$F241="P1 High",$G241="Blocked",$G241="Waiting on Others")),COUNT($R$5:R240)+1,"")</x:f>
      </x:c>
      <x:c r="S241" s="34" t="str">
        <x:f>IF(AND($B241&lt;&gt;"",$G241&lt;&gt;"Done",$G241&lt;&gt;"Canceled",OR($M241="Yes",$G241="Blocked",$G241="Waiting on Others")),COUNT($S$5:S240)+1,"")</x:f>
      </x:c>
    </x:row>
    <x:row r="242">
      <x:c r="A242" s="30"/>
      <x:c r="B242" s="30"/>
      <x:c r="C242" s="30"/>
      <x:c r="D242" s="30"/>
      <x:c r="E242" s="30"/>
      <x:c r="F242" s="30"/>
      <x:c r="G242" s="30"/>
      <x:c r="H242" s="31"/>
      <x:c r="I242" s="32"/>
      <x:c r="J242" s="33"/>
      <x:c r="K242" s="30"/>
      <x:c r="L242" s="30"/>
      <x:c r="M242" s="30"/>
      <x:c r="N242" s="30"/>
      <x:c r="O242" s="31"/>
      <x:c r="P242" s="30"/>
      <x:c r="Q242" s="30"/>
      <x:c r="R242" s="34" t="str">
        <x:f>IF(AND($B242&lt;&gt;"",$G242&lt;&gt;"Done",$G242&lt;&gt;"Canceled",OR($L242="Yes",$H242&lt;=TODAY()+1,$F242="P0 Critical",$F242="P1 High",$G242="Blocked",$G242="Waiting on Others")),COUNT($R$5:R241)+1,"")</x:f>
      </x:c>
      <x:c r="S242" s="34" t="str">
        <x:f>IF(AND($B242&lt;&gt;"",$G242&lt;&gt;"Done",$G242&lt;&gt;"Canceled",OR($M242="Yes",$G242="Blocked",$G242="Waiting on Others")),COUNT($S$5:S241)+1,"")</x:f>
      </x:c>
    </x:row>
    <x:row r="243">
      <x:c r="A243" s="30"/>
      <x:c r="B243" s="30"/>
      <x:c r="C243" s="30"/>
      <x:c r="D243" s="30"/>
      <x:c r="E243" s="30"/>
      <x:c r="F243" s="30"/>
      <x:c r="G243" s="30"/>
      <x:c r="H243" s="31"/>
      <x:c r="I243" s="32"/>
      <x:c r="J243" s="33"/>
      <x:c r="K243" s="30"/>
      <x:c r="L243" s="30"/>
      <x:c r="M243" s="30"/>
      <x:c r="N243" s="30"/>
      <x:c r="O243" s="31"/>
      <x:c r="P243" s="30"/>
      <x:c r="Q243" s="30"/>
      <x:c r="R243" s="34" t="str">
        <x:f>IF(AND($B243&lt;&gt;"",$G243&lt;&gt;"Done",$G243&lt;&gt;"Canceled",OR($L243="Yes",$H243&lt;=TODAY()+1,$F243="P0 Critical",$F243="P1 High",$G243="Blocked",$G243="Waiting on Others")),COUNT($R$5:R242)+1,"")</x:f>
      </x:c>
      <x:c r="S243" s="34" t="str">
        <x:f>IF(AND($B243&lt;&gt;"",$G243&lt;&gt;"Done",$G243&lt;&gt;"Canceled",OR($M243="Yes",$G243="Blocked",$G243="Waiting on Others")),COUNT($S$5:S242)+1,"")</x:f>
      </x:c>
    </x:row>
    <x:row r="244">
      <x:c r="A244" s="30"/>
      <x:c r="B244" s="30"/>
      <x:c r="C244" s="30"/>
      <x:c r="D244" s="30"/>
      <x:c r="E244" s="30"/>
      <x:c r="F244" s="30"/>
      <x:c r="G244" s="30"/>
      <x:c r="H244" s="31"/>
      <x:c r="I244" s="32"/>
      <x:c r="J244" s="33"/>
      <x:c r="K244" s="30"/>
      <x:c r="L244" s="30"/>
      <x:c r="M244" s="30"/>
      <x:c r="N244" s="30"/>
      <x:c r="O244" s="31"/>
      <x:c r="P244" s="30"/>
      <x:c r="Q244" s="30"/>
      <x:c r="R244" s="34" t="str">
        <x:f>IF(AND($B244&lt;&gt;"",$G244&lt;&gt;"Done",$G244&lt;&gt;"Canceled",OR($L244="Yes",$H244&lt;=TODAY()+1,$F244="P0 Critical",$F244="P1 High",$G244="Blocked",$G244="Waiting on Others")),COUNT($R$5:R243)+1,"")</x:f>
      </x:c>
      <x:c r="S244" s="34" t="str">
        <x:f>IF(AND($B244&lt;&gt;"",$G244&lt;&gt;"Done",$G244&lt;&gt;"Canceled",OR($M244="Yes",$G244="Blocked",$G244="Waiting on Others")),COUNT($S$5:S243)+1,"")</x:f>
      </x:c>
    </x:row>
    <x:row r="245">
      <x:c r="A245" s="30"/>
      <x:c r="B245" s="30"/>
      <x:c r="C245" s="30"/>
      <x:c r="D245" s="30"/>
      <x:c r="E245" s="30"/>
      <x:c r="F245" s="30"/>
      <x:c r="G245" s="30"/>
      <x:c r="H245" s="31"/>
      <x:c r="I245" s="32"/>
      <x:c r="J245" s="33"/>
      <x:c r="K245" s="30"/>
      <x:c r="L245" s="30"/>
      <x:c r="M245" s="30"/>
      <x:c r="N245" s="30"/>
      <x:c r="O245" s="31"/>
      <x:c r="P245" s="30"/>
      <x:c r="Q245" s="30"/>
      <x:c r="R245" s="34" t="str">
        <x:f>IF(AND($B245&lt;&gt;"",$G245&lt;&gt;"Done",$G245&lt;&gt;"Canceled",OR($L245="Yes",$H245&lt;=TODAY()+1,$F245="P0 Critical",$F245="P1 High",$G245="Blocked",$G245="Waiting on Others")),COUNT($R$5:R244)+1,"")</x:f>
      </x:c>
      <x:c r="S245" s="34" t="str">
        <x:f>IF(AND($B245&lt;&gt;"",$G245&lt;&gt;"Done",$G245&lt;&gt;"Canceled",OR($M245="Yes",$G245="Blocked",$G245="Waiting on Others")),COUNT($S$5:S244)+1,"")</x:f>
      </x:c>
    </x:row>
    <x:row r="246">
      <x:c r="A246" s="30"/>
      <x:c r="B246" s="30"/>
      <x:c r="C246" s="30"/>
      <x:c r="D246" s="30"/>
      <x:c r="E246" s="30"/>
      <x:c r="F246" s="30"/>
      <x:c r="G246" s="30"/>
      <x:c r="H246" s="31"/>
      <x:c r="I246" s="32"/>
      <x:c r="J246" s="33"/>
      <x:c r="K246" s="30"/>
      <x:c r="L246" s="30"/>
      <x:c r="M246" s="30"/>
      <x:c r="N246" s="30"/>
      <x:c r="O246" s="31"/>
      <x:c r="P246" s="30"/>
      <x:c r="Q246" s="30"/>
      <x:c r="R246" s="34" t="str">
        <x:f>IF(AND($B246&lt;&gt;"",$G246&lt;&gt;"Done",$G246&lt;&gt;"Canceled",OR($L246="Yes",$H246&lt;=TODAY()+1,$F246="P0 Critical",$F246="P1 High",$G246="Blocked",$G246="Waiting on Others")),COUNT($R$5:R245)+1,"")</x:f>
      </x:c>
      <x:c r="S246" s="34" t="str">
        <x:f>IF(AND($B246&lt;&gt;"",$G246&lt;&gt;"Done",$G246&lt;&gt;"Canceled",OR($M246="Yes",$G246="Blocked",$G246="Waiting on Others")),COUNT($S$5:S245)+1,"")</x:f>
      </x:c>
    </x:row>
    <x:row r="247">
      <x:c r="A247" s="30"/>
      <x:c r="B247" s="30"/>
      <x:c r="C247" s="30"/>
      <x:c r="D247" s="30"/>
      <x:c r="E247" s="30"/>
      <x:c r="F247" s="30"/>
      <x:c r="G247" s="30"/>
      <x:c r="H247" s="31"/>
      <x:c r="I247" s="32"/>
      <x:c r="J247" s="33"/>
      <x:c r="K247" s="30"/>
      <x:c r="L247" s="30"/>
      <x:c r="M247" s="30"/>
      <x:c r="N247" s="30"/>
      <x:c r="O247" s="31"/>
      <x:c r="P247" s="30"/>
      <x:c r="Q247" s="30"/>
      <x:c r="R247" s="34" t="str">
        <x:f>IF(AND($B247&lt;&gt;"",$G247&lt;&gt;"Done",$G247&lt;&gt;"Canceled",OR($L247="Yes",$H247&lt;=TODAY()+1,$F247="P0 Critical",$F247="P1 High",$G247="Blocked",$G247="Waiting on Others")),COUNT($R$5:R246)+1,"")</x:f>
      </x:c>
      <x:c r="S247" s="34" t="str">
        <x:f>IF(AND($B247&lt;&gt;"",$G247&lt;&gt;"Done",$G247&lt;&gt;"Canceled",OR($M247="Yes",$G247="Blocked",$G247="Waiting on Others")),COUNT($S$5:S246)+1,"")</x:f>
      </x:c>
    </x:row>
    <x:row r="248">
      <x:c r="A248" s="30"/>
      <x:c r="B248" s="30"/>
      <x:c r="C248" s="30"/>
      <x:c r="D248" s="30"/>
      <x:c r="E248" s="30"/>
      <x:c r="F248" s="30"/>
      <x:c r="G248" s="30"/>
      <x:c r="H248" s="31"/>
      <x:c r="I248" s="32"/>
      <x:c r="J248" s="33"/>
      <x:c r="K248" s="30"/>
      <x:c r="L248" s="30"/>
      <x:c r="M248" s="30"/>
      <x:c r="N248" s="30"/>
      <x:c r="O248" s="31"/>
      <x:c r="P248" s="30"/>
      <x:c r="Q248" s="30"/>
      <x:c r="R248" s="34" t="str">
        <x:f>IF(AND($B248&lt;&gt;"",$G248&lt;&gt;"Done",$G248&lt;&gt;"Canceled",OR($L248="Yes",$H248&lt;=TODAY()+1,$F248="P0 Critical",$F248="P1 High",$G248="Blocked",$G248="Waiting on Others")),COUNT($R$5:R247)+1,"")</x:f>
      </x:c>
      <x:c r="S248" s="34" t="str">
        <x:f>IF(AND($B248&lt;&gt;"",$G248&lt;&gt;"Done",$G248&lt;&gt;"Canceled",OR($M248="Yes",$G248="Blocked",$G248="Waiting on Others")),COUNT($S$5:S247)+1,"")</x:f>
      </x:c>
    </x:row>
    <x:row r="249">
      <x:c r="A249" s="30"/>
      <x:c r="B249" s="30"/>
      <x:c r="C249" s="30"/>
      <x:c r="D249" s="30"/>
      <x:c r="E249" s="30"/>
      <x:c r="F249" s="30"/>
      <x:c r="G249" s="30"/>
      <x:c r="H249" s="31"/>
      <x:c r="I249" s="32"/>
      <x:c r="J249" s="33"/>
      <x:c r="K249" s="30"/>
      <x:c r="L249" s="30"/>
      <x:c r="M249" s="30"/>
      <x:c r="N249" s="30"/>
      <x:c r="O249" s="31"/>
      <x:c r="P249" s="30"/>
      <x:c r="Q249" s="30"/>
      <x:c r="R249" s="34" t="str">
        <x:f>IF(AND($B249&lt;&gt;"",$G249&lt;&gt;"Done",$G249&lt;&gt;"Canceled",OR($L249="Yes",$H249&lt;=TODAY()+1,$F249="P0 Critical",$F249="P1 High",$G249="Blocked",$G249="Waiting on Others")),COUNT($R$5:R248)+1,"")</x:f>
      </x:c>
      <x:c r="S249" s="34" t="str">
        <x:f>IF(AND($B249&lt;&gt;"",$G249&lt;&gt;"Done",$G249&lt;&gt;"Canceled",OR($M249="Yes",$G249="Blocked",$G249="Waiting on Others")),COUNT($S$5:S248)+1,"")</x:f>
      </x:c>
    </x:row>
    <x:row r="250">
      <x:c r="A250" s="30"/>
      <x:c r="B250" s="30"/>
      <x:c r="C250" s="30"/>
      <x:c r="D250" s="30"/>
      <x:c r="E250" s="30"/>
      <x:c r="F250" s="30"/>
      <x:c r="G250" s="30"/>
      <x:c r="H250" s="31"/>
      <x:c r="I250" s="32"/>
      <x:c r="J250" s="33"/>
      <x:c r="K250" s="30"/>
      <x:c r="L250" s="30"/>
      <x:c r="M250" s="30"/>
      <x:c r="N250" s="30"/>
      <x:c r="O250" s="31"/>
      <x:c r="P250" s="30"/>
      <x:c r="Q250" s="30"/>
      <x:c r="R250" s="34" t="str">
        <x:f>IF(AND($B250&lt;&gt;"",$G250&lt;&gt;"Done",$G250&lt;&gt;"Canceled",OR($L250="Yes",$H250&lt;=TODAY()+1,$F250="P0 Critical",$F250="P1 High",$G250="Blocked",$G250="Waiting on Others")),COUNT($R$5:R249)+1,"")</x:f>
      </x:c>
      <x:c r="S250" s="34" t="str">
        <x:f>IF(AND($B250&lt;&gt;"",$G250&lt;&gt;"Done",$G250&lt;&gt;"Canceled",OR($M250="Yes",$G250="Blocked",$G250="Waiting on Others")),COUNT($S$5:S249)+1,"")</x:f>
      </x:c>
    </x:row>
    <x:row r="251">
      <x:c r="A251" s="30"/>
      <x:c r="B251" s="30"/>
      <x:c r="C251" s="30"/>
      <x:c r="D251" s="30"/>
      <x:c r="E251" s="30"/>
      <x:c r="F251" s="30"/>
      <x:c r="G251" s="30"/>
      <x:c r="H251" s="31"/>
      <x:c r="I251" s="32"/>
      <x:c r="J251" s="33"/>
      <x:c r="K251" s="30"/>
      <x:c r="L251" s="30"/>
      <x:c r="M251" s="30"/>
      <x:c r="N251" s="30"/>
      <x:c r="O251" s="31"/>
      <x:c r="P251" s="30"/>
      <x:c r="Q251" s="30"/>
      <x:c r="R251" s="34" t="str">
        <x:f>IF(AND($B251&lt;&gt;"",$G251&lt;&gt;"Done",$G251&lt;&gt;"Canceled",OR($L251="Yes",$H251&lt;=TODAY()+1,$F251="P0 Critical",$F251="P1 High",$G251="Blocked",$G251="Waiting on Others")),COUNT($R$5:R250)+1,"")</x:f>
      </x:c>
      <x:c r="S251" s="34" t="str">
        <x:f>IF(AND($B251&lt;&gt;"",$G251&lt;&gt;"Done",$G251&lt;&gt;"Canceled",OR($M251="Yes",$G251="Blocked",$G251="Waiting on Others")),COUNT($S$5:S250)+1,"")</x:f>
      </x:c>
    </x:row>
    <x:row r="252">
      <x:c r="A252" s="30"/>
      <x:c r="B252" s="30"/>
      <x:c r="C252" s="30"/>
      <x:c r="D252" s="30"/>
      <x:c r="E252" s="30"/>
      <x:c r="F252" s="30"/>
      <x:c r="G252" s="30"/>
      <x:c r="H252" s="31"/>
      <x:c r="I252" s="32"/>
      <x:c r="J252" s="33"/>
      <x:c r="K252" s="30"/>
      <x:c r="L252" s="30"/>
      <x:c r="M252" s="30"/>
      <x:c r="N252" s="30"/>
      <x:c r="O252" s="31"/>
      <x:c r="P252" s="30"/>
      <x:c r="Q252" s="30"/>
      <x:c r="R252" s="34" t="str">
        <x:f>IF(AND($B252&lt;&gt;"",$G252&lt;&gt;"Done",$G252&lt;&gt;"Canceled",OR($L252="Yes",$H252&lt;=TODAY()+1,$F252="P0 Critical",$F252="P1 High",$G252="Blocked",$G252="Waiting on Others")),COUNT($R$5:R251)+1,"")</x:f>
      </x:c>
      <x:c r="S252" s="34" t="str">
        <x:f>IF(AND($B252&lt;&gt;"",$G252&lt;&gt;"Done",$G252&lt;&gt;"Canceled",OR($M252="Yes",$G252="Blocked",$G252="Waiting on Others")),COUNT($S$5:S251)+1,"")</x:f>
      </x:c>
    </x:row>
    <x:row r="253">
      <x:c r="A253" s="30"/>
      <x:c r="B253" s="30"/>
      <x:c r="C253" s="30"/>
      <x:c r="D253" s="30"/>
      <x:c r="E253" s="30"/>
      <x:c r="F253" s="30"/>
      <x:c r="G253" s="30"/>
      <x:c r="H253" s="31"/>
      <x:c r="I253" s="32"/>
      <x:c r="J253" s="33"/>
      <x:c r="K253" s="30"/>
      <x:c r="L253" s="30"/>
      <x:c r="M253" s="30"/>
      <x:c r="N253" s="30"/>
      <x:c r="O253" s="31"/>
      <x:c r="P253" s="30"/>
      <x:c r="Q253" s="30"/>
      <x:c r="R253" s="34" t="str">
        <x:f>IF(AND($B253&lt;&gt;"",$G253&lt;&gt;"Done",$G253&lt;&gt;"Canceled",OR($L253="Yes",$H253&lt;=TODAY()+1,$F253="P0 Critical",$F253="P1 High",$G253="Blocked",$G253="Waiting on Others")),COUNT($R$5:R252)+1,"")</x:f>
      </x:c>
      <x:c r="S253" s="34" t="str">
        <x:f>IF(AND($B253&lt;&gt;"",$G253&lt;&gt;"Done",$G253&lt;&gt;"Canceled",OR($M253="Yes",$G253="Blocked",$G253="Waiting on Others")),COUNT($S$5:S252)+1,"")</x:f>
      </x:c>
    </x:row>
    <x:row r="254">
      <x:c r="A254" s="30"/>
      <x:c r="B254" s="30"/>
      <x:c r="C254" s="30"/>
      <x:c r="D254" s="30"/>
      <x:c r="E254" s="30"/>
      <x:c r="F254" s="30"/>
      <x:c r="G254" s="30"/>
      <x:c r="H254" s="31"/>
      <x:c r="I254" s="32"/>
      <x:c r="J254" s="33"/>
      <x:c r="K254" s="30"/>
      <x:c r="L254" s="30"/>
      <x:c r="M254" s="30"/>
      <x:c r="N254" s="30"/>
      <x:c r="O254" s="31"/>
      <x:c r="P254" s="30"/>
      <x:c r="Q254" s="30"/>
      <x:c r="R254" s="34" t="str">
        <x:f>IF(AND($B254&lt;&gt;"",$G254&lt;&gt;"Done",$G254&lt;&gt;"Canceled",OR($L254="Yes",$H254&lt;=TODAY()+1,$F254="P0 Critical",$F254="P1 High",$G254="Blocked",$G254="Waiting on Others")),COUNT($R$5:R253)+1,"")</x:f>
      </x:c>
      <x:c r="S254" s="34" t="str">
        <x:f>IF(AND($B254&lt;&gt;"",$G254&lt;&gt;"Done",$G254&lt;&gt;"Canceled",OR($M254="Yes",$G254="Blocked",$G254="Waiting on Others")),COUNT($S$5:S253)+1,"")</x:f>
      </x:c>
    </x:row>
    <x:row r="255">
      <x:c r="A255" s="30"/>
      <x:c r="B255" s="30"/>
      <x:c r="C255" s="30"/>
      <x:c r="D255" s="30"/>
      <x:c r="E255" s="30"/>
      <x:c r="F255" s="30"/>
      <x:c r="G255" s="30"/>
      <x:c r="H255" s="31"/>
      <x:c r="I255" s="32"/>
      <x:c r="J255" s="33"/>
      <x:c r="K255" s="30"/>
      <x:c r="L255" s="30"/>
      <x:c r="M255" s="30"/>
      <x:c r="N255" s="30"/>
      <x:c r="O255" s="31"/>
      <x:c r="P255" s="30"/>
      <x:c r="Q255" s="30"/>
      <x:c r="R255" s="34" t="str">
        <x:f>IF(AND($B255&lt;&gt;"",$G255&lt;&gt;"Done",$G255&lt;&gt;"Canceled",OR($L255="Yes",$H255&lt;=TODAY()+1,$F255="P0 Critical",$F255="P1 High",$G255="Blocked",$G255="Waiting on Others")),COUNT($R$5:R254)+1,"")</x:f>
      </x:c>
      <x:c r="S255" s="34" t="str">
        <x:f>IF(AND($B255&lt;&gt;"",$G255&lt;&gt;"Done",$G255&lt;&gt;"Canceled",OR($M255="Yes",$G255="Blocked",$G255="Waiting on Others")),COUNT($S$5:S254)+1,"")</x:f>
      </x:c>
    </x:row>
    <x:row r="256">
      <x:c r="A256" s="30"/>
      <x:c r="B256" s="30"/>
      <x:c r="C256" s="30"/>
      <x:c r="D256" s="30"/>
      <x:c r="E256" s="30"/>
      <x:c r="F256" s="30"/>
      <x:c r="G256" s="30"/>
      <x:c r="H256" s="31"/>
      <x:c r="I256" s="32"/>
      <x:c r="J256" s="33"/>
      <x:c r="K256" s="30"/>
      <x:c r="L256" s="30"/>
      <x:c r="M256" s="30"/>
      <x:c r="N256" s="30"/>
      <x:c r="O256" s="31"/>
      <x:c r="P256" s="30"/>
      <x:c r="Q256" s="30"/>
      <x:c r="R256" s="34" t="str">
        <x:f>IF(AND($B256&lt;&gt;"",$G256&lt;&gt;"Done",$G256&lt;&gt;"Canceled",OR($L256="Yes",$H256&lt;=TODAY()+1,$F256="P0 Critical",$F256="P1 High",$G256="Blocked",$G256="Waiting on Others")),COUNT($R$5:R255)+1,"")</x:f>
      </x:c>
      <x:c r="S256" s="34" t="str">
        <x:f>IF(AND($B256&lt;&gt;"",$G256&lt;&gt;"Done",$G256&lt;&gt;"Canceled",OR($M256="Yes",$G256="Blocked",$G256="Waiting on Others")),COUNT($S$5:S255)+1,"")</x:f>
      </x:c>
    </x:row>
    <x:row r="257">
      <x:c r="A257" s="30"/>
      <x:c r="B257" s="30"/>
      <x:c r="C257" s="30"/>
      <x:c r="D257" s="30"/>
      <x:c r="E257" s="30"/>
      <x:c r="F257" s="30"/>
      <x:c r="G257" s="30"/>
      <x:c r="H257" s="31"/>
      <x:c r="I257" s="32"/>
      <x:c r="J257" s="33"/>
      <x:c r="K257" s="30"/>
      <x:c r="L257" s="30"/>
      <x:c r="M257" s="30"/>
      <x:c r="N257" s="30"/>
      <x:c r="O257" s="31"/>
      <x:c r="P257" s="30"/>
      <x:c r="Q257" s="30"/>
      <x:c r="R257" s="34" t="str">
        <x:f>IF(AND($B257&lt;&gt;"",$G257&lt;&gt;"Done",$G257&lt;&gt;"Canceled",OR($L257="Yes",$H257&lt;=TODAY()+1,$F257="P0 Critical",$F257="P1 High",$G257="Blocked",$G257="Waiting on Others")),COUNT($R$5:R256)+1,"")</x:f>
      </x:c>
      <x:c r="S257" s="34" t="str">
        <x:f>IF(AND($B257&lt;&gt;"",$G257&lt;&gt;"Done",$G257&lt;&gt;"Canceled",OR($M257="Yes",$G257="Blocked",$G257="Waiting on Others")),COUNT($S$5:S256)+1,"")</x:f>
      </x:c>
    </x:row>
    <x:row r="258">
      <x:c r="A258" s="30"/>
      <x:c r="B258" s="30"/>
      <x:c r="C258" s="30"/>
      <x:c r="D258" s="30"/>
      <x:c r="E258" s="30"/>
      <x:c r="F258" s="30"/>
      <x:c r="G258" s="30"/>
      <x:c r="H258" s="31"/>
      <x:c r="I258" s="32"/>
      <x:c r="J258" s="33"/>
      <x:c r="K258" s="30"/>
      <x:c r="L258" s="30"/>
      <x:c r="M258" s="30"/>
      <x:c r="N258" s="30"/>
      <x:c r="O258" s="31"/>
      <x:c r="P258" s="30"/>
      <x:c r="Q258" s="30"/>
      <x:c r="R258" s="34" t="str">
        <x:f>IF(AND($B258&lt;&gt;"",$G258&lt;&gt;"Done",$G258&lt;&gt;"Canceled",OR($L258="Yes",$H258&lt;=TODAY()+1,$F258="P0 Critical",$F258="P1 High",$G258="Blocked",$G258="Waiting on Others")),COUNT($R$5:R257)+1,"")</x:f>
      </x:c>
      <x:c r="S258" s="34" t="str">
        <x:f>IF(AND($B258&lt;&gt;"",$G258&lt;&gt;"Done",$G258&lt;&gt;"Canceled",OR($M258="Yes",$G258="Blocked",$G258="Waiting on Others")),COUNT($S$5:S257)+1,"")</x:f>
      </x:c>
    </x:row>
    <x:row r="259">
      <x:c r="A259" s="30"/>
      <x:c r="B259" s="30"/>
      <x:c r="C259" s="30"/>
      <x:c r="D259" s="30"/>
      <x:c r="E259" s="30"/>
      <x:c r="F259" s="30"/>
      <x:c r="G259" s="30"/>
      <x:c r="H259" s="31"/>
      <x:c r="I259" s="32"/>
      <x:c r="J259" s="33"/>
      <x:c r="K259" s="30"/>
      <x:c r="L259" s="30"/>
      <x:c r="M259" s="30"/>
      <x:c r="N259" s="30"/>
      <x:c r="O259" s="31"/>
      <x:c r="P259" s="30"/>
      <x:c r="Q259" s="30"/>
      <x:c r="R259" s="34" t="str">
        <x:f>IF(AND($B259&lt;&gt;"",$G259&lt;&gt;"Done",$G259&lt;&gt;"Canceled",OR($L259="Yes",$H259&lt;=TODAY()+1,$F259="P0 Critical",$F259="P1 High",$G259="Blocked",$G259="Waiting on Others")),COUNT($R$5:R258)+1,"")</x:f>
      </x:c>
      <x:c r="S259" s="34" t="str">
        <x:f>IF(AND($B259&lt;&gt;"",$G259&lt;&gt;"Done",$G259&lt;&gt;"Canceled",OR($M259="Yes",$G259="Blocked",$G259="Waiting on Others")),COUNT($S$5:S258)+1,"")</x:f>
      </x:c>
    </x:row>
    <x:row r="260">
      <x:c r="A260" s="30"/>
      <x:c r="B260" s="30"/>
      <x:c r="C260" s="30"/>
      <x:c r="D260" s="30"/>
      <x:c r="E260" s="30"/>
      <x:c r="F260" s="30"/>
      <x:c r="G260" s="30"/>
      <x:c r="H260" s="31"/>
      <x:c r="I260" s="32"/>
      <x:c r="J260" s="33"/>
      <x:c r="K260" s="30"/>
      <x:c r="L260" s="30"/>
      <x:c r="M260" s="30"/>
      <x:c r="N260" s="30"/>
      <x:c r="O260" s="31"/>
      <x:c r="P260" s="30"/>
      <x:c r="Q260" s="30"/>
      <x:c r="R260" s="34" t="str">
        <x:f>IF(AND($B260&lt;&gt;"",$G260&lt;&gt;"Done",$G260&lt;&gt;"Canceled",OR($L260="Yes",$H260&lt;=TODAY()+1,$F260="P0 Critical",$F260="P1 High",$G260="Blocked",$G260="Waiting on Others")),COUNT($R$5:R259)+1,"")</x:f>
      </x:c>
      <x:c r="S260" s="34" t="str">
        <x:f>IF(AND($B260&lt;&gt;"",$G260&lt;&gt;"Done",$G260&lt;&gt;"Canceled",OR($M260="Yes",$G260="Blocked",$G260="Waiting on Others")),COUNT($S$5:S259)+1,"")</x:f>
      </x:c>
    </x:row>
    <x:row r="261">
      <x:c r="A261" s="30"/>
      <x:c r="B261" s="30"/>
      <x:c r="C261" s="30"/>
      <x:c r="D261" s="30"/>
      <x:c r="E261" s="30"/>
      <x:c r="F261" s="30"/>
      <x:c r="G261" s="30"/>
      <x:c r="H261" s="31"/>
      <x:c r="I261" s="32"/>
      <x:c r="J261" s="33"/>
      <x:c r="K261" s="30"/>
      <x:c r="L261" s="30"/>
      <x:c r="M261" s="30"/>
      <x:c r="N261" s="30"/>
      <x:c r="O261" s="31"/>
      <x:c r="P261" s="30"/>
      <x:c r="Q261" s="30"/>
      <x:c r="R261" s="34" t="str">
        <x:f>IF(AND($B261&lt;&gt;"",$G261&lt;&gt;"Done",$G261&lt;&gt;"Canceled",OR($L261="Yes",$H261&lt;=TODAY()+1,$F261="P0 Critical",$F261="P1 High",$G261="Blocked",$G261="Waiting on Others")),COUNT($R$5:R260)+1,"")</x:f>
      </x:c>
      <x:c r="S261" s="34" t="str">
        <x:f>IF(AND($B261&lt;&gt;"",$G261&lt;&gt;"Done",$G261&lt;&gt;"Canceled",OR($M261="Yes",$G261="Blocked",$G261="Waiting on Others")),COUNT($S$5:S260)+1,"")</x:f>
      </x:c>
    </x:row>
    <x:row r="262">
      <x:c r="A262" s="30"/>
      <x:c r="B262" s="30"/>
      <x:c r="C262" s="30"/>
      <x:c r="D262" s="30"/>
      <x:c r="E262" s="30"/>
      <x:c r="F262" s="30"/>
      <x:c r="G262" s="30"/>
      <x:c r="H262" s="31"/>
      <x:c r="I262" s="32"/>
      <x:c r="J262" s="33"/>
      <x:c r="K262" s="30"/>
      <x:c r="L262" s="30"/>
      <x:c r="M262" s="30"/>
      <x:c r="N262" s="30"/>
      <x:c r="O262" s="31"/>
      <x:c r="P262" s="30"/>
      <x:c r="Q262" s="30"/>
      <x:c r="R262" s="34" t="str">
        <x:f>IF(AND($B262&lt;&gt;"",$G262&lt;&gt;"Done",$G262&lt;&gt;"Canceled",OR($L262="Yes",$H262&lt;=TODAY()+1,$F262="P0 Critical",$F262="P1 High",$G262="Blocked",$G262="Waiting on Others")),COUNT($R$5:R261)+1,"")</x:f>
      </x:c>
      <x:c r="S262" s="34" t="str">
        <x:f>IF(AND($B262&lt;&gt;"",$G262&lt;&gt;"Done",$G262&lt;&gt;"Canceled",OR($M262="Yes",$G262="Blocked",$G262="Waiting on Others")),COUNT($S$5:S261)+1,"")</x:f>
      </x:c>
    </x:row>
    <x:row r="263">
      <x:c r="A263" s="30"/>
      <x:c r="B263" s="30"/>
      <x:c r="C263" s="30"/>
      <x:c r="D263" s="30"/>
      <x:c r="E263" s="30"/>
      <x:c r="F263" s="30"/>
      <x:c r="G263" s="30"/>
      <x:c r="H263" s="31"/>
      <x:c r="I263" s="32"/>
      <x:c r="J263" s="33"/>
      <x:c r="K263" s="30"/>
      <x:c r="L263" s="30"/>
      <x:c r="M263" s="30"/>
      <x:c r="N263" s="30"/>
      <x:c r="O263" s="31"/>
      <x:c r="P263" s="30"/>
      <x:c r="Q263" s="30"/>
      <x:c r="R263" s="34" t="str">
        <x:f>IF(AND($B263&lt;&gt;"",$G263&lt;&gt;"Done",$G263&lt;&gt;"Canceled",OR($L263="Yes",$H263&lt;=TODAY()+1,$F263="P0 Critical",$F263="P1 High",$G263="Blocked",$G263="Waiting on Others")),COUNT($R$5:R262)+1,"")</x:f>
      </x:c>
      <x:c r="S263" s="34" t="str">
        <x:f>IF(AND($B263&lt;&gt;"",$G263&lt;&gt;"Done",$G263&lt;&gt;"Canceled",OR($M263="Yes",$G263="Blocked",$G263="Waiting on Others")),COUNT($S$5:S262)+1,"")</x:f>
      </x:c>
    </x:row>
    <x:row r="264">
      <x:c r="A264" s="30"/>
      <x:c r="B264" s="30"/>
      <x:c r="C264" s="30"/>
      <x:c r="D264" s="30"/>
      <x:c r="E264" s="30"/>
      <x:c r="F264" s="30"/>
      <x:c r="G264" s="30"/>
      <x:c r="H264" s="31"/>
      <x:c r="I264" s="32"/>
      <x:c r="J264" s="33"/>
      <x:c r="K264" s="30"/>
      <x:c r="L264" s="30"/>
      <x:c r="M264" s="30"/>
      <x:c r="N264" s="30"/>
      <x:c r="O264" s="31"/>
      <x:c r="P264" s="30"/>
      <x:c r="Q264" s="30"/>
      <x:c r="R264" s="34" t="str">
        <x:f>IF(AND($B264&lt;&gt;"",$G264&lt;&gt;"Done",$G264&lt;&gt;"Canceled",OR($L264="Yes",$H264&lt;=TODAY()+1,$F264="P0 Critical",$F264="P1 High",$G264="Blocked",$G264="Waiting on Others")),COUNT($R$5:R263)+1,"")</x:f>
      </x:c>
      <x:c r="S264" s="34" t="str">
        <x:f>IF(AND($B264&lt;&gt;"",$G264&lt;&gt;"Done",$G264&lt;&gt;"Canceled",OR($M264="Yes",$G264="Blocked",$G264="Waiting on Others")),COUNT($S$5:S263)+1,"")</x:f>
      </x:c>
    </x:row>
    <x:row r="265">
      <x:c r="A265" s="30"/>
      <x:c r="B265" s="30"/>
      <x:c r="C265" s="30"/>
      <x:c r="D265" s="30"/>
      <x:c r="E265" s="30"/>
      <x:c r="F265" s="30"/>
      <x:c r="G265" s="30"/>
      <x:c r="H265" s="31"/>
      <x:c r="I265" s="32"/>
      <x:c r="J265" s="33"/>
      <x:c r="K265" s="30"/>
      <x:c r="L265" s="30"/>
      <x:c r="M265" s="30"/>
      <x:c r="N265" s="30"/>
      <x:c r="O265" s="31"/>
      <x:c r="P265" s="30"/>
      <x:c r="Q265" s="30"/>
      <x:c r="R265" s="34" t="str">
        <x:f>IF(AND($B265&lt;&gt;"",$G265&lt;&gt;"Done",$G265&lt;&gt;"Canceled",OR($L265="Yes",$H265&lt;=TODAY()+1,$F265="P0 Critical",$F265="P1 High",$G265="Blocked",$G265="Waiting on Others")),COUNT($R$5:R264)+1,"")</x:f>
      </x:c>
      <x:c r="S265" s="34" t="str">
        <x:f>IF(AND($B265&lt;&gt;"",$G265&lt;&gt;"Done",$G265&lt;&gt;"Canceled",OR($M265="Yes",$G265="Blocked",$G265="Waiting on Others")),COUNT($S$5:S264)+1,"")</x:f>
      </x:c>
    </x:row>
    <x:row r="266">
      <x:c r="A266" s="30"/>
      <x:c r="B266" s="30"/>
      <x:c r="C266" s="30"/>
      <x:c r="D266" s="30"/>
      <x:c r="E266" s="30"/>
      <x:c r="F266" s="30"/>
      <x:c r="G266" s="30"/>
      <x:c r="H266" s="31"/>
      <x:c r="I266" s="32"/>
      <x:c r="J266" s="33"/>
      <x:c r="K266" s="30"/>
      <x:c r="L266" s="30"/>
      <x:c r="M266" s="30"/>
      <x:c r="N266" s="30"/>
      <x:c r="O266" s="31"/>
      <x:c r="P266" s="30"/>
      <x:c r="Q266" s="30"/>
      <x:c r="R266" s="34" t="str">
        <x:f>IF(AND($B266&lt;&gt;"",$G266&lt;&gt;"Done",$G266&lt;&gt;"Canceled",OR($L266="Yes",$H266&lt;=TODAY()+1,$F266="P0 Critical",$F266="P1 High",$G266="Blocked",$G266="Waiting on Others")),COUNT($R$5:R265)+1,"")</x:f>
      </x:c>
      <x:c r="S266" s="34" t="str">
        <x:f>IF(AND($B266&lt;&gt;"",$G266&lt;&gt;"Done",$G266&lt;&gt;"Canceled",OR($M266="Yes",$G266="Blocked",$G266="Waiting on Others")),COUNT($S$5:S265)+1,"")</x:f>
      </x:c>
    </x:row>
    <x:row r="267">
      <x:c r="A267" s="30"/>
      <x:c r="B267" s="30"/>
      <x:c r="C267" s="30"/>
      <x:c r="D267" s="30"/>
      <x:c r="E267" s="30"/>
      <x:c r="F267" s="30"/>
      <x:c r="G267" s="30"/>
      <x:c r="H267" s="31"/>
      <x:c r="I267" s="32"/>
      <x:c r="J267" s="33"/>
      <x:c r="K267" s="30"/>
      <x:c r="L267" s="30"/>
      <x:c r="M267" s="30"/>
      <x:c r="N267" s="30"/>
      <x:c r="O267" s="31"/>
      <x:c r="P267" s="30"/>
      <x:c r="Q267" s="30"/>
      <x:c r="R267" s="34" t="str">
        <x:f>IF(AND($B267&lt;&gt;"",$G267&lt;&gt;"Done",$G267&lt;&gt;"Canceled",OR($L267="Yes",$H267&lt;=TODAY()+1,$F267="P0 Critical",$F267="P1 High",$G267="Blocked",$G267="Waiting on Others")),COUNT($R$5:R266)+1,"")</x:f>
      </x:c>
      <x:c r="S267" s="34" t="str">
        <x:f>IF(AND($B267&lt;&gt;"",$G267&lt;&gt;"Done",$G267&lt;&gt;"Canceled",OR($M267="Yes",$G267="Blocked",$G267="Waiting on Others")),COUNT($S$5:S266)+1,"")</x:f>
      </x:c>
    </x:row>
    <x:row r="268">
      <x:c r="A268" s="30"/>
      <x:c r="B268" s="30"/>
      <x:c r="C268" s="30"/>
      <x:c r="D268" s="30"/>
      <x:c r="E268" s="30"/>
      <x:c r="F268" s="30"/>
      <x:c r="G268" s="30"/>
      <x:c r="H268" s="31"/>
      <x:c r="I268" s="32"/>
      <x:c r="J268" s="33"/>
      <x:c r="K268" s="30"/>
      <x:c r="L268" s="30"/>
      <x:c r="M268" s="30"/>
      <x:c r="N268" s="30"/>
      <x:c r="O268" s="31"/>
      <x:c r="P268" s="30"/>
      <x:c r="Q268" s="30"/>
      <x:c r="R268" s="34" t="str">
        <x:f>IF(AND($B268&lt;&gt;"",$G268&lt;&gt;"Done",$G268&lt;&gt;"Canceled",OR($L268="Yes",$H268&lt;=TODAY()+1,$F268="P0 Critical",$F268="P1 High",$G268="Blocked",$G268="Waiting on Others")),COUNT($R$5:R267)+1,"")</x:f>
      </x:c>
      <x:c r="S268" s="34" t="str">
        <x:f>IF(AND($B268&lt;&gt;"",$G268&lt;&gt;"Done",$G268&lt;&gt;"Canceled",OR($M268="Yes",$G268="Blocked",$G268="Waiting on Others")),COUNT($S$5:S267)+1,"")</x:f>
      </x:c>
    </x:row>
    <x:row r="269">
      <x:c r="A269" s="30"/>
      <x:c r="B269" s="30"/>
      <x:c r="C269" s="30"/>
      <x:c r="D269" s="30"/>
      <x:c r="E269" s="30"/>
      <x:c r="F269" s="30"/>
      <x:c r="G269" s="30"/>
      <x:c r="H269" s="31"/>
      <x:c r="I269" s="32"/>
      <x:c r="J269" s="33"/>
      <x:c r="K269" s="30"/>
      <x:c r="L269" s="30"/>
      <x:c r="M269" s="30"/>
      <x:c r="N269" s="30"/>
      <x:c r="O269" s="31"/>
      <x:c r="P269" s="30"/>
      <x:c r="Q269" s="30"/>
      <x:c r="R269" s="34" t="str">
        <x:f>IF(AND($B269&lt;&gt;"",$G269&lt;&gt;"Done",$G269&lt;&gt;"Canceled",OR($L269="Yes",$H269&lt;=TODAY()+1,$F269="P0 Critical",$F269="P1 High",$G269="Blocked",$G269="Waiting on Others")),COUNT($R$5:R268)+1,"")</x:f>
      </x:c>
      <x:c r="S269" s="34" t="str">
        <x:f>IF(AND($B269&lt;&gt;"",$G269&lt;&gt;"Done",$G269&lt;&gt;"Canceled",OR($M269="Yes",$G269="Blocked",$G269="Waiting on Others")),COUNT($S$5:S268)+1,"")</x:f>
      </x:c>
    </x:row>
    <x:row r="270">
      <x:c r="A270" s="30"/>
      <x:c r="B270" s="30"/>
      <x:c r="C270" s="30"/>
      <x:c r="D270" s="30"/>
      <x:c r="E270" s="30"/>
      <x:c r="F270" s="30"/>
      <x:c r="G270" s="30"/>
      <x:c r="H270" s="31"/>
      <x:c r="I270" s="32"/>
      <x:c r="J270" s="33"/>
      <x:c r="K270" s="30"/>
      <x:c r="L270" s="30"/>
      <x:c r="M270" s="30"/>
      <x:c r="N270" s="30"/>
      <x:c r="O270" s="31"/>
      <x:c r="P270" s="30"/>
      <x:c r="Q270" s="30"/>
      <x:c r="R270" s="34" t="str">
        <x:f>IF(AND($B270&lt;&gt;"",$G270&lt;&gt;"Done",$G270&lt;&gt;"Canceled",OR($L270="Yes",$H270&lt;=TODAY()+1,$F270="P0 Critical",$F270="P1 High",$G270="Blocked",$G270="Waiting on Others")),COUNT($R$5:R269)+1,"")</x:f>
      </x:c>
      <x:c r="S270" s="34" t="str">
        <x:f>IF(AND($B270&lt;&gt;"",$G270&lt;&gt;"Done",$G270&lt;&gt;"Canceled",OR($M270="Yes",$G270="Blocked",$G270="Waiting on Others")),COUNT($S$5:S269)+1,"")</x:f>
      </x:c>
    </x:row>
    <x:row r="271">
      <x:c r="A271" s="30"/>
      <x:c r="B271" s="30"/>
      <x:c r="C271" s="30"/>
      <x:c r="D271" s="30"/>
      <x:c r="E271" s="30"/>
      <x:c r="F271" s="30"/>
      <x:c r="G271" s="30"/>
      <x:c r="H271" s="31"/>
      <x:c r="I271" s="32"/>
      <x:c r="J271" s="33"/>
      <x:c r="K271" s="30"/>
      <x:c r="L271" s="30"/>
      <x:c r="M271" s="30"/>
      <x:c r="N271" s="30"/>
      <x:c r="O271" s="31"/>
      <x:c r="P271" s="30"/>
      <x:c r="Q271" s="30"/>
      <x:c r="R271" s="34" t="str">
        <x:f>IF(AND($B271&lt;&gt;"",$G271&lt;&gt;"Done",$G271&lt;&gt;"Canceled",OR($L271="Yes",$H271&lt;=TODAY()+1,$F271="P0 Critical",$F271="P1 High",$G271="Blocked",$G271="Waiting on Others")),COUNT($R$5:R270)+1,"")</x:f>
      </x:c>
      <x:c r="S271" s="34" t="str">
        <x:f>IF(AND($B271&lt;&gt;"",$G271&lt;&gt;"Done",$G271&lt;&gt;"Canceled",OR($M271="Yes",$G271="Blocked",$G271="Waiting on Others")),COUNT($S$5:S270)+1,"")</x:f>
      </x:c>
    </x:row>
    <x:row r="272">
      <x:c r="A272" s="30"/>
      <x:c r="B272" s="30"/>
      <x:c r="C272" s="30"/>
      <x:c r="D272" s="30"/>
      <x:c r="E272" s="30"/>
      <x:c r="F272" s="30"/>
      <x:c r="G272" s="30"/>
      <x:c r="H272" s="31"/>
      <x:c r="I272" s="32"/>
      <x:c r="J272" s="33"/>
      <x:c r="K272" s="30"/>
      <x:c r="L272" s="30"/>
      <x:c r="M272" s="30"/>
      <x:c r="N272" s="30"/>
      <x:c r="O272" s="31"/>
      <x:c r="P272" s="30"/>
      <x:c r="Q272" s="30"/>
      <x:c r="R272" s="34" t="str">
        <x:f>IF(AND($B272&lt;&gt;"",$G272&lt;&gt;"Done",$G272&lt;&gt;"Canceled",OR($L272="Yes",$H272&lt;=TODAY()+1,$F272="P0 Critical",$F272="P1 High",$G272="Blocked",$G272="Waiting on Others")),COUNT($R$5:R271)+1,"")</x:f>
      </x:c>
      <x:c r="S272" s="34" t="str">
        <x:f>IF(AND($B272&lt;&gt;"",$G272&lt;&gt;"Done",$G272&lt;&gt;"Canceled",OR($M272="Yes",$G272="Blocked",$G272="Waiting on Others")),COUNT($S$5:S271)+1,"")</x:f>
      </x:c>
    </x:row>
    <x:row r="273">
      <x:c r="A273" s="30"/>
      <x:c r="B273" s="30"/>
      <x:c r="C273" s="30"/>
      <x:c r="D273" s="30"/>
      <x:c r="E273" s="30"/>
      <x:c r="F273" s="30"/>
      <x:c r="G273" s="30"/>
      <x:c r="H273" s="31"/>
      <x:c r="I273" s="32"/>
      <x:c r="J273" s="33"/>
      <x:c r="K273" s="30"/>
      <x:c r="L273" s="30"/>
      <x:c r="M273" s="30"/>
      <x:c r="N273" s="30"/>
      <x:c r="O273" s="31"/>
      <x:c r="P273" s="30"/>
      <x:c r="Q273" s="30"/>
      <x:c r="R273" s="34" t="str">
        <x:f>IF(AND($B273&lt;&gt;"",$G273&lt;&gt;"Done",$G273&lt;&gt;"Canceled",OR($L273="Yes",$H273&lt;=TODAY()+1,$F273="P0 Critical",$F273="P1 High",$G273="Blocked",$G273="Waiting on Others")),COUNT($R$5:R272)+1,"")</x:f>
      </x:c>
      <x:c r="S273" s="34" t="str">
        <x:f>IF(AND($B273&lt;&gt;"",$G273&lt;&gt;"Done",$G273&lt;&gt;"Canceled",OR($M273="Yes",$G273="Blocked",$G273="Waiting on Others")),COUNT($S$5:S272)+1,"")</x:f>
      </x:c>
    </x:row>
    <x:row r="274">
      <x:c r="A274" s="30"/>
      <x:c r="B274" s="30"/>
      <x:c r="C274" s="30"/>
      <x:c r="D274" s="30"/>
      <x:c r="E274" s="30"/>
      <x:c r="F274" s="30"/>
      <x:c r="G274" s="30"/>
      <x:c r="H274" s="31"/>
      <x:c r="I274" s="32"/>
      <x:c r="J274" s="33"/>
      <x:c r="K274" s="30"/>
      <x:c r="L274" s="30"/>
      <x:c r="M274" s="30"/>
      <x:c r="N274" s="30"/>
      <x:c r="O274" s="31"/>
      <x:c r="P274" s="30"/>
      <x:c r="Q274" s="30"/>
      <x:c r="R274" s="34" t="str">
        <x:f>IF(AND($B274&lt;&gt;"",$G274&lt;&gt;"Done",$G274&lt;&gt;"Canceled",OR($L274="Yes",$H274&lt;=TODAY()+1,$F274="P0 Critical",$F274="P1 High",$G274="Blocked",$G274="Waiting on Others")),COUNT($R$5:R273)+1,"")</x:f>
      </x:c>
      <x:c r="S274" s="34" t="str">
        <x:f>IF(AND($B274&lt;&gt;"",$G274&lt;&gt;"Done",$G274&lt;&gt;"Canceled",OR($M274="Yes",$G274="Blocked",$G274="Waiting on Others")),COUNT($S$5:S273)+1,"")</x:f>
      </x:c>
    </x:row>
    <x:row r="275">
      <x:c r="A275" s="30"/>
      <x:c r="B275" s="30"/>
      <x:c r="C275" s="30"/>
      <x:c r="D275" s="30"/>
      <x:c r="E275" s="30"/>
      <x:c r="F275" s="30"/>
      <x:c r="G275" s="30"/>
      <x:c r="H275" s="31"/>
      <x:c r="I275" s="32"/>
      <x:c r="J275" s="33"/>
      <x:c r="K275" s="30"/>
      <x:c r="L275" s="30"/>
      <x:c r="M275" s="30"/>
      <x:c r="N275" s="30"/>
      <x:c r="O275" s="31"/>
      <x:c r="P275" s="30"/>
      <x:c r="Q275" s="30"/>
      <x:c r="R275" s="34" t="str">
        <x:f>IF(AND($B275&lt;&gt;"",$G275&lt;&gt;"Done",$G275&lt;&gt;"Canceled",OR($L275="Yes",$H275&lt;=TODAY()+1,$F275="P0 Critical",$F275="P1 High",$G275="Blocked",$G275="Waiting on Others")),COUNT($R$5:R274)+1,"")</x:f>
      </x:c>
      <x:c r="S275" s="34" t="str">
        <x:f>IF(AND($B275&lt;&gt;"",$G275&lt;&gt;"Done",$G275&lt;&gt;"Canceled",OR($M275="Yes",$G275="Blocked",$G275="Waiting on Others")),COUNT($S$5:S274)+1,"")</x:f>
      </x:c>
    </x:row>
    <x:row r="276">
      <x:c r="A276" s="30"/>
      <x:c r="B276" s="30"/>
      <x:c r="C276" s="30"/>
      <x:c r="D276" s="30"/>
      <x:c r="E276" s="30"/>
      <x:c r="F276" s="30"/>
      <x:c r="G276" s="30"/>
      <x:c r="H276" s="31"/>
      <x:c r="I276" s="32"/>
      <x:c r="J276" s="33"/>
      <x:c r="K276" s="30"/>
      <x:c r="L276" s="30"/>
      <x:c r="M276" s="30"/>
      <x:c r="N276" s="30"/>
      <x:c r="O276" s="31"/>
      <x:c r="P276" s="30"/>
      <x:c r="Q276" s="30"/>
      <x:c r="R276" s="34" t="str">
        <x:f>IF(AND($B276&lt;&gt;"",$G276&lt;&gt;"Done",$G276&lt;&gt;"Canceled",OR($L276="Yes",$H276&lt;=TODAY()+1,$F276="P0 Critical",$F276="P1 High",$G276="Blocked",$G276="Waiting on Others")),COUNT($R$5:R275)+1,"")</x:f>
      </x:c>
      <x:c r="S276" s="34" t="str">
        <x:f>IF(AND($B276&lt;&gt;"",$G276&lt;&gt;"Done",$G276&lt;&gt;"Canceled",OR($M276="Yes",$G276="Blocked",$G276="Waiting on Others")),COUNT($S$5:S275)+1,"")</x:f>
      </x:c>
    </x:row>
    <x:row r="277">
      <x:c r="A277" s="30"/>
      <x:c r="B277" s="30"/>
      <x:c r="C277" s="30"/>
      <x:c r="D277" s="30"/>
      <x:c r="E277" s="30"/>
      <x:c r="F277" s="30"/>
      <x:c r="G277" s="30"/>
      <x:c r="H277" s="31"/>
      <x:c r="I277" s="32"/>
      <x:c r="J277" s="33"/>
      <x:c r="K277" s="30"/>
      <x:c r="L277" s="30"/>
      <x:c r="M277" s="30"/>
      <x:c r="N277" s="30"/>
      <x:c r="O277" s="31"/>
      <x:c r="P277" s="30"/>
      <x:c r="Q277" s="30"/>
      <x:c r="R277" s="34" t="str">
        <x:f>IF(AND($B277&lt;&gt;"",$G277&lt;&gt;"Done",$G277&lt;&gt;"Canceled",OR($L277="Yes",$H277&lt;=TODAY()+1,$F277="P0 Critical",$F277="P1 High",$G277="Blocked",$G277="Waiting on Others")),COUNT($R$5:R276)+1,"")</x:f>
      </x:c>
      <x:c r="S277" s="34" t="str">
        <x:f>IF(AND($B277&lt;&gt;"",$G277&lt;&gt;"Done",$G277&lt;&gt;"Canceled",OR($M277="Yes",$G277="Blocked",$G277="Waiting on Others")),COUNT($S$5:S276)+1,"")</x:f>
      </x:c>
    </x:row>
    <x:row r="278">
      <x:c r="A278" s="30"/>
      <x:c r="B278" s="30"/>
      <x:c r="C278" s="30"/>
      <x:c r="D278" s="30"/>
      <x:c r="E278" s="30"/>
      <x:c r="F278" s="30"/>
      <x:c r="G278" s="30"/>
      <x:c r="H278" s="31"/>
      <x:c r="I278" s="32"/>
      <x:c r="J278" s="33"/>
      <x:c r="K278" s="30"/>
      <x:c r="L278" s="30"/>
      <x:c r="M278" s="30"/>
      <x:c r="N278" s="30"/>
      <x:c r="O278" s="31"/>
      <x:c r="P278" s="30"/>
      <x:c r="Q278" s="30"/>
      <x:c r="R278" s="34" t="str">
        <x:f>IF(AND($B278&lt;&gt;"",$G278&lt;&gt;"Done",$G278&lt;&gt;"Canceled",OR($L278="Yes",$H278&lt;=TODAY()+1,$F278="P0 Critical",$F278="P1 High",$G278="Blocked",$G278="Waiting on Others")),COUNT($R$5:R277)+1,"")</x:f>
      </x:c>
      <x:c r="S278" s="34" t="str">
        <x:f>IF(AND($B278&lt;&gt;"",$G278&lt;&gt;"Done",$G278&lt;&gt;"Canceled",OR($M278="Yes",$G278="Blocked",$G278="Waiting on Others")),COUNT($S$5:S277)+1,"")</x:f>
      </x:c>
    </x:row>
    <x:row r="279">
      <x:c r="A279" s="30"/>
      <x:c r="B279" s="30"/>
      <x:c r="C279" s="30"/>
      <x:c r="D279" s="30"/>
      <x:c r="E279" s="30"/>
      <x:c r="F279" s="30"/>
      <x:c r="G279" s="30"/>
      <x:c r="H279" s="31"/>
      <x:c r="I279" s="32"/>
      <x:c r="J279" s="33"/>
      <x:c r="K279" s="30"/>
      <x:c r="L279" s="30"/>
      <x:c r="M279" s="30"/>
      <x:c r="N279" s="30"/>
      <x:c r="O279" s="31"/>
      <x:c r="P279" s="30"/>
      <x:c r="Q279" s="30"/>
      <x:c r="R279" s="34" t="str">
        <x:f>IF(AND($B279&lt;&gt;"",$G279&lt;&gt;"Done",$G279&lt;&gt;"Canceled",OR($L279="Yes",$H279&lt;=TODAY()+1,$F279="P0 Critical",$F279="P1 High",$G279="Blocked",$G279="Waiting on Others")),COUNT($R$5:R278)+1,"")</x:f>
      </x:c>
      <x:c r="S279" s="34" t="str">
        <x:f>IF(AND($B279&lt;&gt;"",$G279&lt;&gt;"Done",$G279&lt;&gt;"Canceled",OR($M279="Yes",$G279="Blocked",$G279="Waiting on Others")),COUNT($S$5:S278)+1,"")</x:f>
      </x:c>
    </x:row>
    <x:row r="280">
      <x:c r="A280" s="30"/>
      <x:c r="B280" s="30"/>
      <x:c r="C280" s="30"/>
      <x:c r="D280" s="30"/>
      <x:c r="E280" s="30"/>
      <x:c r="F280" s="30"/>
      <x:c r="G280" s="30"/>
      <x:c r="H280" s="31"/>
      <x:c r="I280" s="32"/>
      <x:c r="J280" s="33"/>
      <x:c r="K280" s="30"/>
      <x:c r="L280" s="30"/>
      <x:c r="M280" s="30"/>
      <x:c r="N280" s="30"/>
      <x:c r="O280" s="31"/>
      <x:c r="P280" s="30"/>
      <x:c r="Q280" s="30"/>
      <x:c r="R280" s="34" t="str">
        <x:f>IF(AND($B280&lt;&gt;"",$G280&lt;&gt;"Done",$G280&lt;&gt;"Canceled",OR($L280="Yes",$H280&lt;=TODAY()+1,$F280="P0 Critical",$F280="P1 High",$G280="Blocked",$G280="Waiting on Others")),COUNT($R$5:R279)+1,"")</x:f>
      </x:c>
      <x:c r="S280" s="34" t="str">
        <x:f>IF(AND($B280&lt;&gt;"",$G280&lt;&gt;"Done",$G280&lt;&gt;"Canceled",OR($M280="Yes",$G280="Blocked",$G280="Waiting on Others")),COUNT($S$5:S279)+1,"")</x:f>
      </x:c>
    </x:row>
    <x:row r="281">
      <x:c r="A281" s="30"/>
      <x:c r="B281" s="30"/>
      <x:c r="C281" s="30"/>
      <x:c r="D281" s="30"/>
      <x:c r="E281" s="30"/>
      <x:c r="F281" s="30"/>
      <x:c r="G281" s="30"/>
      <x:c r="H281" s="31"/>
      <x:c r="I281" s="32"/>
      <x:c r="J281" s="33"/>
      <x:c r="K281" s="30"/>
      <x:c r="L281" s="30"/>
      <x:c r="M281" s="30"/>
      <x:c r="N281" s="30"/>
      <x:c r="O281" s="31"/>
      <x:c r="P281" s="30"/>
      <x:c r="Q281" s="30"/>
      <x:c r="R281" s="34" t="str">
        <x:f>IF(AND($B281&lt;&gt;"",$G281&lt;&gt;"Done",$G281&lt;&gt;"Canceled",OR($L281="Yes",$H281&lt;=TODAY()+1,$F281="P0 Critical",$F281="P1 High",$G281="Blocked",$G281="Waiting on Others")),COUNT($R$5:R280)+1,"")</x:f>
      </x:c>
      <x:c r="S281" s="34" t="str">
        <x:f>IF(AND($B281&lt;&gt;"",$G281&lt;&gt;"Done",$G281&lt;&gt;"Canceled",OR($M281="Yes",$G281="Blocked",$G281="Waiting on Others")),COUNT($S$5:S280)+1,"")</x:f>
      </x:c>
    </x:row>
    <x:row r="282">
      <x:c r="A282" s="30"/>
      <x:c r="B282" s="30"/>
      <x:c r="C282" s="30"/>
      <x:c r="D282" s="30"/>
      <x:c r="E282" s="30"/>
      <x:c r="F282" s="30"/>
      <x:c r="G282" s="30"/>
      <x:c r="H282" s="31"/>
      <x:c r="I282" s="32"/>
      <x:c r="J282" s="33"/>
      <x:c r="K282" s="30"/>
      <x:c r="L282" s="30"/>
      <x:c r="M282" s="30"/>
      <x:c r="N282" s="30"/>
      <x:c r="O282" s="31"/>
      <x:c r="P282" s="30"/>
      <x:c r="Q282" s="30"/>
      <x:c r="R282" s="34" t="str">
        <x:f>IF(AND($B282&lt;&gt;"",$G282&lt;&gt;"Done",$G282&lt;&gt;"Canceled",OR($L282="Yes",$H282&lt;=TODAY()+1,$F282="P0 Critical",$F282="P1 High",$G282="Blocked",$G282="Waiting on Others")),COUNT($R$5:R281)+1,"")</x:f>
      </x:c>
      <x:c r="S282" s="34" t="str">
        <x:f>IF(AND($B282&lt;&gt;"",$G282&lt;&gt;"Done",$G282&lt;&gt;"Canceled",OR($M282="Yes",$G282="Blocked",$G282="Waiting on Others")),COUNT($S$5:S281)+1,"")</x:f>
      </x:c>
    </x:row>
    <x:row r="283">
      <x:c r="A283" s="30"/>
      <x:c r="B283" s="30"/>
      <x:c r="C283" s="30"/>
      <x:c r="D283" s="30"/>
      <x:c r="E283" s="30"/>
      <x:c r="F283" s="30"/>
      <x:c r="G283" s="30"/>
      <x:c r="H283" s="31"/>
      <x:c r="I283" s="32"/>
      <x:c r="J283" s="33"/>
      <x:c r="K283" s="30"/>
      <x:c r="L283" s="30"/>
      <x:c r="M283" s="30"/>
      <x:c r="N283" s="30"/>
      <x:c r="O283" s="31"/>
      <x:c r="P283" s="30"/>
      <x:c r="Q283" s="30"/>
      <x:c r="R283" s="34" t="str">
        <x:f>IF(AND($B283&lt;&gt;"",$G283&lt;&gt;"Done",$G283&lt;&gt;"Canceled",OR($L283="Yes",$H283&lt;=TODAY()+1,$F283="P0 Critical",$F283="P1 High",$G283="Blocked",$G283="Waiting on Others")),COUNT($R$5:R282)+1,"")</x:f>
      </x:c>
      <x:c r="S283" s="34" t="str">
        <x:f>IF(AND($B283&lt;&gt;"",$G283&lt;&gt;"Done",$G283&lt;&gt;"Canceled",OR($M283="Yes",$G283="Blocked",$G283="Waiting on Others")),COUNT($S$5:S282)+1,"")</x:f>
      </x:c>
    </x:row>
    <x:row r="284">
      <x:c r="A284" s="30"/>
      <x:c r="B284" s="30"/>
      <x:c r="C284" s="30"/>
      <x:c r="D284" s="30"/>
      <x:c r="E284" s="30"/>
      <x:c r="F284" s="30"/>
      <x:c r="G284" s="30"/>
      <x:c r="H284" s="31"/>
      <x:c r="I284" s="32"/>
      <x:c r="J284" s="33"/>
      <x:c r="K284" s="30"/>
      <x:c r="L284" s="30"/>
      <x:c r="M284" s="30"/>
      <x:c r="N284" s="30"/>
      <x:c r="O284" s="31"/>
      <x:c r="P284" s="30"/>
      <x:c r="Q284" s="30"/>
      <x:c r="R284" s="34" t="str">
        <x:f>IF(AND($B284&lt;&gt;"",$G284&lt;&gt;"Done",$G284&lt;&gt;"Canceled",OR($L284="Yes",$H284&lt;=TODAY()+1,$F284="P0 Critical",$F284="P1 High",$G284="Blocked",$G284="Waiting on Others")),COUNT($R$5:R283)+1,"")</x:f>
      </x:c>
      <x:c r="S284" s="34" t="str">
        <x:f>IF(AND($B284&lt;&gt;"",$G284&lt;&gt;"Done",$G284&lt;&gt;"Canceled",OR($M284="Yes",$G284="Blocked",$G284="Waiting on Others")),COUNT($S$5:S283)+1,"")</x:f>
      </x:c>
    </x:row>
    <x:row r="285">
      <x:c r="A285" s="30"/>
      <x:c r="B285" s="30"/>
      <x:c r="C285" s="30"/>
      <x:c r="D285" s="30"/>
      <x:c r="E285" s="30"/>
      <x:c r="F285" s="30"/>
      <x:c r="G285" s="30"/>
      <x:c r="H285" s="31"/>
      <x:c r="I285" s="32"/>
      <x:c r="J285" s="33"/>
      <x:c r="K285" s="30"/>
      <x:c r="L285" s="30"/>
      <x:c r="M285" s="30"/>
      <x:c r="N285" s="30"/>
      <x:c r="O285" s="31"/>
      <x:c r="P285" s="30"/>
      <x:c r="Q285" s="30"/>
      <x:c r="R285" s="34" t="str">
        <x:f>IF(AND($B285&lt;&gt;"",$G285&lt;&gt;"Done",$G285&lt;&gt;"Canceled",OR($L285="Yes",$H285&lt;=TODAY()+1,$F285="P0 Critical",$F285="P1 High",$G285="Blocked",$G285="Waiting on Others")),COUNT($R$5:R284)+1,"")</x:f>
      </x:c>
      <x:c r="S285" s="34" t="str">
        <x:f>IF(AND($B285&lt;&gt;"",$G285&lt;&gt;"Done",$G285&lt;&gt;"Canceled",OR($M285="Yes",$G285="Blocked",$G285="Waiting on Others")),COUNT($S$5:S284)+1,"")</x:f>
      </x:c>
    </x:row>
    <x:row r="286">
      <x:c r="A286" s="30"/>
      <x:c r="B286" s="30"/>
      <x:c r="C286" s="30"/>
      <x:c r="D286" s="30"/>
      <x:c r="E286" s="30"/>
      <x:c r="F286" s="30"/>
      <x:c r="G286" s="30"/>
      <x:c r="H286" s="31"/>
      <x:c r="I286" s="32"/>
      <x:c r="J286" s="33"/>
      <x:c r="K286" s="30"/>
      <x:c r="L286" s="30"/>
      <x:c r="M286" s="30"/>
      <x:c r="N286" s="30"/>
      <x:c r="O286" s="31"/>
      <x:c r="P286" s="30"/>
      <x:c r="Q286" s="30"/>
      <x:c r="R286" s="34" t="str">
        <x:f>IF(AND($B286&lt;&gt;"",$G286&lt;&gt;"Done",$G286&lt;&gt;"Canceled",OR($L286="Yes",$H286&lt;=TODAY()+1,$F286="P0 Critical",$F286="P1 High",$G286="Blocked",$G286="Waiting on Others")),COUNT($R$5:R285)+1,"")</x:f>
      </x:c>
      <x:c r="S286" s="34" t="str">
        <x:f>IF(AND($B286&lt;&gt;"",$G286&lt;&gt;"Done",$G286&lt;&gt;"Canceled",OR($M286="Yes",$G286="Blocked",$G286="Waiting on Others")),COUNT($S$5:S285)+1,"")</x:f>
      </x:c>
    </x:row>
    <x:row r="287">
      <x:c r="A287" s="30"/>
      <x:c r="B287" s="30"/>
      <x:c r="C287" s="30"/>
      <x:c r="D287" s="30"/>
      <x:c r="E287" s="30"/>
      <x:c r="F287" s="30"/>
      <x:c r="G287" s="30"/>
      <x:c r="H287" s="31"/>
      <x:c r="I287" s="32"/>
      <x:c r="J287" s="33"/>
      <x:c r="K287" s="30"/>
      <x:c r="L287" s="30"/>
      <x:c r="M287" s="30"/>
      <x:c r="N287" s="30"/>
      <x:c r="O287" s="31"/>
      <x:c r="P287" s="30"/>
      <x:c r="Q287" s="30"/>
      <x:c r="R287" s="34" t="str">
        <x:f>IF(AND($B287&lt;&gt;"",$G287&lt;&gt;"Done",$G287&lt;&gt;"Canceled",OR($L287="Yes",$H287&lt;=TODAY()+1,$F287="P0 Critical",$F287="P1 High",$G287="Blocked",$G287="Waiting on Others")),COUNT($R$5:R286)+1,"")</x:f>
      </x:c>
      <x:c r="S287" s="34" t="str">
        <x:f>IF(AND($B287&lt;&gt;"",$G287&lt;&gt;"Done",$G287&lt;&gt;"Canceled",OR($M287="Yes",$G287="Blocked",$G287="Waiting on Others")),COUNT($S$5:S286)+1,"")</x:f>
      </x:c>
    </x:row>
    <x:row r="288">
      <x:c r="A288" s="30"/>
      <x:c r="B288" s="30"/>
      <x:c r="C288" s="30"/>
      <x:c r="D288" s="30"/>
      <x:c r="E288" s="30"/>
      <x:c r="F288" s="30"/>
      <x:c r="G288" s="30"/>
      <x:c r="H288" s="31"/>
      <x:c r="I288" s="32"/>
      <x:c r="J288" s="33"/>
      <x:c r="K288" s="30"/>
      <x:c r="L288" s="30"/>
      <x:c r="M288" s="30"/>
      <x:c r="N288" s="30"/>
      <x:c r="O288" s="31"/>
      <x:c r="P288" s="30"/>
      <x:c r="Q288" s="30"/>
      <x:c r="R288" s="34" t="str">
        <x:f>IF(AND($B288&lt;&gt;"",$G288&lt;&gt;"Done",$G288&lt;&gt;"Canceled",OR($L288="Yes",$H288&lt;=TODAY()+1,$F288="P0 Critical",$F288="P1 High",$G288="Blocked",$G288="Waiting on Others")),COUNT($R$5:R287)+1,"")</x:f>
      </x:c>
      <x:c r="S288" s="34" t="str">
        <x:f>IF(AND($B288&lt;&gt;"",$G288&lt;&gt;"Done",$G288&lt;&gt;"Canceled",OR($M288="Yes",$G288="Blocked",$G288="Waiting on Others")),COUNT($S$5:S287)+1,"")</x:f>
      </x:c>
    </x:row>
    <x:row r="289">
      <x:c r="A289" s="30"/>
      <x:c r="B289" s="30"/>
      <x:c r="C289" s="30"/>
      <x:c r="D289" s="30"/>
      <x:c r="E289" s="30"/>
      <x:c r="F289" s="30"/>
      <x:c r="G289" s="30"/>
      <x:c r="H289" s="31"/>
      <x:c r="I289" s="32"/>
      <x:c r="J289" s="33"/>
      <x:c r="K289" s="30"/>
      <x:c r="L289" s="30"/>
      <x:c r="M289" s="30"/>
      <x:c r="N289" s="30"/>
      <x:c r="O289" s="31"/>
      <x:c r="P289" s="30"/>
      <x:c r="Q289" s="30"/>
      <x:c r="R289" s="34" t="str">
        <x:f>IF(AND($B289&lt;&gt;"",$G289&lt;&gt;"Done",$G289&lt;&gt;"Canceled",OR($L289="Yes",$H289&lt;=TODAY()+1,$F289="P0 Critical",$F289="P1 High",$G289="Blocked",$G289="Waiting on Others")),COUNT($R$5:R288)+1,"")</x:f>
      </x:c>
      <x:c r="S289" s="34" t="str">
        <x:f>IF(AND($B289&lt;&gt;"",$G289&lt;&gt;"Done",$G289&lt;&gt;"Canceled",OR($M289="Yes",$G289="Blocked",$G289="Waiting on Others")),COUNT($S$5:S288)+1,"")</x:f>
      </x:c>
    </x:row>
    <x:row r="290">
      <x:c r="A290" s="30"/>
      <x:c r="B290" s="30"/>
      <x:c r="C290" s="30"/>
      <x:c r="D290" s="30"/>
      <x:c r="E290" s="30"/>
      <x:c r="F290" s="30"/>
      <x:c r="G290" s="30"/>
      <x:c r="H290" s="31"/>
      <x:c r="I290" s="32"/>
      <x:c r="J290" s="33"/>
      <x:c r="K290" s="30"/>
      <x:c r="L290" s="30"/>
      <x:c r="M290" s="30"/>
      <x:c r="N290" s="30"/>
      <x:c r="O290" s="31"/>
      <x:c r="P290" s="30"/>
      <x:c r="Q290" s="30"/>
      <x:c r="R290" s="34" t="str">
        <x:f>IF(AND($B290&lt;&gt;"",$G290&lt;&gt;"Done",$G290&lt;&gt;"Canceled",OR($L290="Yes",$H290&lt;=TODAY()+1,$F290="P0 Critical",$F290="P1 High",$G290="Blocked",$G290="Waiting on Others")),COUNT($R$5:R289)+1,"")</x:f>
      </x:c>
      <x:c r="S290" s="34" t="str">
        <x:f>IF(AND($B290&lt;&gt;"",$G290&lt;&gt;"Done",$G290&lt;&gt;"Canceled",OR($M290="Yes",$G290="Blocked",$G290="Waiting on Others")),COUNT($S$5:S289)+1,"")</x:f>
      </x:c>
    </x:row>
    <x:row r="291">
      <x:c r="A291" s="30"/>
      <x:c r="B291" s="30"/>
      <x:c r="C291" s="30"/>
      <x:c r="D291" s="30"/>
      <x:c r="E291" s="30"/>
      <x:c r="F291" s="30"/>
      <x:c r="G291" s="30"/>
      <x:c r="H291" s="31"/>
      <x:c r="I291" s="32"/>
      <x:c r="J291" s="33"/>
      <x:c r="K291" s="30"/>
      <x:c r="L291" s="30"/>
      <x:c r="M291" s="30"/>
      <x:c r="N291" s="30"/>
      <x:c r="O291" s="31"/>
      <x:c r="P291" s="30"/>
      <x:c r="Q291" s="30"/>
      <x:c r="R291" s="34" t="str">
        <x:f>IF(AND($B291&lt;&gt;"",$G291&lt;&gt;"Done",$G291&lt;&gt;"Canceled",OR($L291="Yes",$H291&lt;=TODAY()+1,$F291="P0 Critical",$F291="P1 High",$G291="Blocked",$G291="Waiting on Others")),COUNT($R$5:R290)+1,"")</x:f>
      </x:c>
      <x:c r="S291" s="34" t="str">
        <x:f>IF(AND($B291&lt;&gt;"",$G291&lt;&gt;"Done",$G291&lt;&gt;"Canceled",OR($M291="Yes",$G291="Blocked",$G291="Waiting on Others")),COUNT($S$5:S290)+1,"")</x:f>
      </x:c>
    </x:row>
    <x:row r="292">
      <x:c r="A292" s="30"/>
      <x:c r="B292" s="30"/>
      <x:c r="C292" s="30"/>
      <x:c r="D292" s="30"/>
      <x:c r="E292" s="30"/>
      <x:c r="F292" s="30"/>
      <x:c r="G292" s="30"/>
      <x:c r="H292" s="31"/>
      <x:c r="I292" s="32"/>
      <x:c r="J292" s="33"/>
      <x:c r="K292" s="30"/>
      <x:c r="L292" s="30"/>
      <x:c r="M292" s="30"/>
      <x:c r="N292" s="30"/>
      <x:c r="O292" s="31"/>
      <x:c r="P292" s="30"/>
      <x:c r="Q292" s="30"/>
      <x:c r="R292" s="34" t="str">
        <x:f>IF(AND($B292&lt;&gt;"",$G292&lt;&gt;"Done",$G292&lt;&gt;"Canceled",OR($L292="Yes",$H292&lt;=TODAY()+1,$F292="P0 Critical",$F292="P1 High",$G292="Blocked",$G292="Waiting on Others")),COUNT($R$5:R291)+1,"")</x:f>
      </x:c>
      <x:c r="S292" s="34" t="str">
        <x:f>IF(AND($B292&lt;&gt;"",$G292&lt;&gt;"Done",$G292&lt;&gt;"Canceled",OR($M292="Yes",$G292="Blocked",$G292="Waiting on Others")),COUNT($S$5:S291)+1,"")</x:f>
      </x:c>
    </x:row>
    <x:row r="293">
      <x:c r="A293" s="30"/>
      <x:c r="B293" s="30"/>
      <x:c r="C293" s="30"/>
      <x:c r="D293" s="30"/>
      <x:c r="E293" s="30"/>
      <x:c r="F293" s="30"/>
      <x:c r="G293" s="30"/>
      <x:c r="H293" s="31"/>
      <x:c r="I293" s="32"/>
      <x:c r="J293" s="33"/>
      <x:c r="K293" s="30"/>
      <x:c r="L293" s="30"/>
      <x:c r="M293" s="30"/>
      <x:c r="N293" s="30"/>
      <x:c r="O293" s="31"/>
      <x:c r="P293" s="30"/>
      <x:c r="Q293" s="30"/>
      <x:c r="R293" s="34" t="str">
        <x:f>IF(AND($B293&lt;&gt;"",$G293&lt;&gt;"Done",$G293&lt;&gt;"Canceled",OR($L293="Yes",$H293&lt;=TODAY()+1,$F293="P0 Critical",$F293="P1 High",$G293="Blocked",$G293="Waiting on Others")),COUNT($R$5:R292)+1,"")</x:f>
      </x:c>
      <x:c r="S293" s="34" t="str">
        <x:f>IF(AND($B293&lt;&gt;"",$G293&lt;&gt;"Done",$G293&lt;&gt;"Canceled",OR($M293="Yes",$G293="Blocked",$G293="Waiting on Others")),COUNT($S$5:S292)+1,"")</x:f>
      </x:c>
    </x:row>
    <x:row r="294">
      <x:c r="A294" s="30"/>
      <x:c r="B294" s="30"/>
      <x:c r="C294" s="30"/>
      <x:c r="D294" s="30"/>
      <x:c r="E294" s="30"/>
      <x:c r="F294" s="30"/>
      <x:c r="G294" s="30"/>
      <x:c r="H294" s="31"/>
      <x:c r="I294" s="32"/>
      <x:c r="J294" s="33"/>
      <x:c r="K294" s="30"/>
      <x:c r="L294" s="30"/>
      <x:c r="M294" s="30"/>
      <x:c r="N294" s="30"/>
      <x:c r="O294" s="31"/>
      <x:c r="P294" s="30"/>
      <x:c r="Q294" s="30"/>
      <x:c r="R294" s="34" t="str">
        <x:f>IF(AND($B294&lt;&gt;"",$G294&lt;&gt;"Done",$G294&lt;&gt;"Canceled",OR($L294="Yes",$H294&lt;=TODAY()+1,$F294="P0 Critical",$F294="P1 High",$G294="Blocked",$G294="Waiting on Others")),COUNT($R$5:R293)+1,"")</x:f>
      </x:c>
      <x:c r="S294" s="34" t="str">
        <x:f>IF(AND($B294&lt;&gt;"",$G294&lt;&gt;"Done",$G294&lt;&gt;"Canceled",OR($M294="Yes",$G294="Blocked",$G294="Waiting on Others")),COUNT($S$5:S293)+1,"")</x:f>
      </x:c>
    </x:row>
    <x:row r="295">
      <x:c r="A295" s="30"/>
      <x:c r="B295" s="30"/>
      <x:c r="C295" s="30"/>
      <x:c r="D295" s="30"/>
      <x:c r="E295" s="30"/>
      <x:c r="F295" s="30"/>
      <x:c r="G295" s="30"/>
      <x:c r="H295" s="31"/>
      <x:c r="I295" s="32"/>
      <x:c r="J295" s="33"/>
      <x:c r="K295" s="30"/>
      <x:c r="L295" s="30"/>
      <x:c r="M295" s="30"/>
      <x:c r="N295" s="30"/>
      <x:c r="O295" s="31"/>
      <x:c r="P295" s="30"/>
      <x:c r="Q295" s="30"/>
      <x:c r="R295" s="34" t="str">
        <x:f>IF(AND($B295&lt;&gt;"",$G295&lt;&gt;"Done",$G295&lt;&gt;"Canceled",OR($L295="Yes",$H295&lt;=TODAY()+1,$F295="P0 Critical",$F295="P1 High",$G295="Blocked",$G295="Waiting on Others")),COUNT($R$5:R294)+1,"")</x:f>
      </x:c>
      <x:c r="S295" s="34" t="str">
        <x:f>IF(AND($B295&lt;&gt;"",$G295&lt;&gt;"Done",$G295&lt;&gt;"Canceled",OR($M295="Yes",$G295="Blocked",$G295="Waiting on Others")),COUNT($S$5:S294)+1,"")</x:f>
      </x:c>
    </x:row>
    <x:row r="296">
      <x:c r="A296" s="30"/>
      <x:c r="B296" s="30"/>
      <x:c r="C296" s="30"/>
      <x:c r="D296" s="30"/>
      <x:c r="E296" s="30"/>
      <x:c r="F296" s="30"/>
      <x:c r="G296" s="30"/>
      <x:c r="H296" s="31"/>
      <x:c r="I296" s="32"/>
      <x:c r="J296" s="33"/>
      <x:c r="K296" s="30"/>
      <x:c r="L296" s="30"/>
      <x:c r="M296" s="30"/>
      <x:c r="N296" s="30"/>
      <x:c r="O296" s="31"/>
      <x:c r="P296" s="30"/>
      <x:c r="Q296" s="30"/>
      <x:c r="R296" s="34" t="str">
        <x:f>IF(AND($B296&lt;&gt;"",$G296&lt;&gt;"Done",$G296&lt;&gt;"Canceled",OR($L296="Yes",$H296&lt;=TODAY()+1,$F296="P0 Critical",$F296="P1 High",$G296="Blocked",$G296="Waiting on Others")),COUNT($R$5:R295)+1,"")</x:f>
      </x:c>
      <x:c r="S296" s="34" t="str">
        <x:f>IF(AND($B296&lt;&gt;"",$G296&lt;&gt;"Done",$G296&lt;&gt;"Canceled",OR($M296="Yes",$G296="Blocked",$G296="Waiting on Others")),COUNT($S$5:S295)+1,"")</x:f>
      </x:c>
    </x:row>
    <x:row r="297">
      <x:c r="A297" s="30"/>
      <x:c r="B297" s="30"/>
      <x:c r="C297" s="30"/>
      <x:c r="D297" s="30"/>
      <x:c r="E297" s="30"/>
      <x:c r="F297" s="30"/>
      <x:c r="G297" s="30"/>
      <x:c r="H297" s="31"/>
      <x:c r="I297" s="32"/>
      <x:c r="J297" s="33"/>
      <x:c r="K297" s="30"/>
      <x:c r="L297" s="30"/>
      <x:c r="M297" s="30"/>
      <x:c r="N297" s="30"/>
      <x:c r="O297" s="31"/>
      <x:c r="P297" s="30"/>
      <x:c r="Q297" s="30"/>
      <x:c r="R297" s="34" t="str">
        <x:f>IF(AND($B297&lt;&gt;"",$G297&lt;&gt;"Done",$G297&lt;&gt;"Canceled",OR($L297="Yes",$H297&lt;=TODAY()+1,$F297="P0 Critical",$F297="P1 High",$G297="Blocked",$G297="Waiting on Others")),COUNT($R$5:R296)+1,"")</x:f>
      </x:c>
      <x:c r="S297" s="34" t="str">
        <x:f>IF(AND($B297&lt;&gt;"",$G297&lt;&gt;"Done",$G297&lt;&gt;"Canceled",OR($M297="Yes",$G297="Blocked",$G297="Waiting on Others")),COUNT($S$5:S296)+1,"")</x:f>
      </x:c>
    </x:row>
    <x:row r="298">
      <x:c r="A298" s="30"/>
      <x:c r="B298" s="30"/>
      <x:c r="C298" s="30"/>
      <x:c r="D298" s="30"/>
      <x:c r="E298" s="30"/>
      <x:c r="F298" s="30"/>
      <x:c r="G298" s="30"/>
      <x:c r="H298" s="31"/>
      <x:c r="I298" s="32"/>
      <x:c r="J298" s="33"/>
      <x:c r="K298" s="30"/>
      <x:c r="L298" s="30"/>
      <x:c r="M298" s="30"/>
      <x:c r="N298" s="30"/>
      <x:c r="O298" s="31"/>
      <x:c r="P298" s="30"/>
      <x:c r="Q298" s="30"/>
      <x:c r="R298" s="34" t="str">
        <x:f>IF(AND($B298&lt;&gt;"",$G298&lt;&gt;"Done",$G298&lt;&gt;"Canceled",OR($L298="Yes",$H298&lt;=TODAY()+1,$F298="P0 Critical",$F298="P1 High",$G298="Blocked",$G298="Waiting on Others")),COUNT($R$5:R297)+1,"")</x:f>
      </x:c>
      <x:c r="S298" s="34" t="str">
        <x:f>IF(AND($B298&lt;&gt;"",$G298&lt;&gt;"Done",$G298&lt;&gt;"Canceled",OR($M298="Yes",$G298="Blocked",$G298="Waiting on Others")),COUNT($S$5:S297)+1,"")</x:f>
      </x:c>
    </x:row>
    <x:row r="299">
      <x:c r="A299" s="30"/>
      <x:c r="B299" s="30"/>
      <x:c r="C299" s="30"/>
      <x:c r="D299" s="30"/>
      <x:c r="E299" s="30"/>
      <x:c r="F299" s="30"/>
      <x:c r="G299" s="30"/>
      <x:c r="H299" s="31"/>
      <x:c r="I299" s="32"/>
      <x:c r="J299" s="33"/>
      <x:c r="K299" s="30"/>
      <x:c r="L299" s="30"/>
      <x:c r="M299" s="30"/>
      <x:c r="N299" s="30"/>
      <x:c r="O299" s="31"/>
      <x:c r="P299" s="30"/>
      <x:c r="Q299" s="30"/>
      <x:c r="R299" s="34" t="str">
        <x:f>IF(AND($B299&lt;&gt;"",$G299&lt;&gt;"Done",$G299&lt;&gt;"Canceled",OR($L299="Yes",$H299&lt;=TODAY()+1,$F299="P0 Critical",$F299="P1 High",$G299="Blocked",$G299="Waiting on Others")),COUNT($R$5:R298)+1,"")</x:f>
      </x:c>
      <x:c r="S299" s="34" t="str">
        <x:f>IF(AND($B299&lt;&gt;"",$G299&lt;&gt;"Done",$G299&lt;&gt;"Canceled",OR($M299="Yes",$G299="Blocked",$G299="Waiting on Others")),COUNT($S$5:S298)+1,"")</x:f>
      </x:c>
    </x:row>
    <x:row r="300">
      <x:c r="A300" s="30"/>
      <x:c r="B300" s="30"/>
      <x:c r="C300" s="30"/>
      <x:c r="D300" s="30"/>
      <x:c r="E300" s="30"/>
      <x:c r="F300" s="30"/>
      <x:c r="G300" s="30"/>
      <x:c r="H300" s="31"/>
      <x:c r="I300" s="32"/>
      <x:c r="J300" s="33"/>
      <x:c r="K300" s="30"/>
      <x:c r="L300" s="30"/>
      <x:c r="M300" s="30"/>
      <x:c r="N300" s="30"/>
      <x:c r="O300" s="31"/>
      <x:c r="P300" s="30"/>
      <x:c r="Q300" s="30"/>
      <x:c r="R300" s="34" t="str">
        <x:f>IF(AND($B300&lt;&gt;"",$G300&lt;&gt;"Done",$G300&lt;&gt;"Canceled",OR($L300="Yes",$H300&lt;=TODAY()+1,$F300="P0 Critical",$F300="P1 High",$G300="Blocked",$G300="Waiting on Others")),COUNT($R$5:R299)+1,"")</x:f>
      </x:c>
      <x:c r="S300" s="34" t="str">
        <x:f>IF(AND($B300&lt;&gt;"",$G300&lt;&gt;"Done",$G300&lt;&gt;"Canceled",OR($M300="Yes",$G300="Blocked",$G300="Waiting on Others")),COUNT($S$5:S299)+1,"")</x:f>
      </x:c>
    </x:row>
    <x:row r="301">
      <x:c r="A301" s="30"/>
      <x:c r="B301" s="30"/>
      <x:c r="C301" s="30"/>
      <x:c r="D301" s="30"/>
      <x:c r="E301" s="30"/>
      <x:c r="F301" s="30"/>
      <x:c r="G301" s="30"/>
      <x:c r="H301" s="31"/>
      <x:c r="I301" s="32"/>
      <x:c r="J301" s="33"/>
      <x:c r="K301" s="30"/>
      <x:c r="L301" s="30"/>
      <x:c r="M301" s="30"/>
      <x:c r="N301" s="30"/>
      <x:c r="O301" s="31"/>
      <x:c r="P301" s="30"/>
      <x:c r="Q301" s="30"/>
      <x:c r="R301" s="34" t="str">
        <x:f>IF(AND($B301&lt;&gt;"",$G301&lt;&gt;"Done",$G301&lt;&gt;"Canceled",OR($L301="Yes",$H301&lt;=TODAY()+1,$F301="P0 Critical",$F301="P1 High",$G301="Blocked",$G301="Waiting on Others")),COUNT($R$5:R300)+1,"")</x:f>
      </x:c>
      <x:c r="S301" s="34" t="str">
        <x:f>IF(AND($B301&lt;&gt;"",$G301&lt;&gt;"Done",$G301&lt;&gt;"Canceled",OR($M301="Yes",$G301="Blocked",$G301="Waiting on Others")),COUNT($S$5:S300)+1,"")</x:f>
      </x:c>
    </x:row>
    <x:row r="302">
      <x:c r="A302" s="30"/>
      <x:c r="B302" s="30"/>
      <x:c r="C302" s="30"/>
      <x:c r="D302" s="30"/>
      <x:c r="E302" s="30"/>
      <x:c r="F302" s="30"/>
      <x:c r="G302" s="30"/>
      <x:c r="H302" s="31"/>
      <x:c r="I302" s="32"/>
      <x:c r="J302" s="33"/>
      <x:c r="K302" s="30"/>
      <x:c r="L302" s="30"/>
      <x:c r="M302" s="30"/>
      <x:c r="N302" s="30"/>
      <x:c r="O302" s="31"/>
      <x:c r="P302" s="30"/>
      <x:c r="Q302" s="30"/>
      <x:c r="R302" s="34" t="str">
        <x:f>IF(AND($B302&lt;&gt;"",$G302&lt;&gt;"Done",$G302&lt;&gt;"Canceled",OR($L302="Yes",$H302&lt;=TODAY()+1,$F302="P0 Critical",$F302="P1 High",$G302="Blocked",$G302="Waiting on Others")),COUNT($R$5:R301)+1,"")</x:f>
      </x:c>
      <x:c r="S302" s="34" t="str">
        <x:f>IF(AND($B302&lt;&gt;"",$G302&lt;&gt;"Done",$G302&lt;&gt;"Canceled",OR($M302="Yes",$G302="Blocked",$G302="Waiting on Others")),COUNT($S$5:S301)+1,"")</x:f>
      </x:c>
    </x:row>
    <x:row r="303">
      <x:c r="A303" s="30"/>
      <x:c r="B303" s="30"/>
      <x:c r="C303" s="30"/>
      <x:c r="D303" s="30"/>
      <x:c r="E303" s="30"/>
      <x:c r="F303" s="30"/>
      <x:c r="G303" s="30"/>
      <x:c r="H303" s="31"/>
      <x:c r="I303" s="32"/>
      <x:c r="J303" s="33"/>
      <x:c r="K303" s="30"/>
      <x:c r="L303" s="30"/>
      <x:c r="M303" s="30"/>
      <x:c r="N303" s="30"/>
      <x:c r="O303" s="31"/>
      <x:c r="P303" s="30"/>
      <x:c r="Q303" s="30"/>
      <x:c r="R303" s="34" t="str">
        <x:f>IF(AND($B303&lt;&gt;"",$G303&lt;&gt;"Done",$G303&lt;&gt;"Canceled",OR($L303="Yes",$H303&lt;=TODAY()+1,$F303="P0 Critical",$F303="P1 High",$G303="Blocked",$G303="Waiting on Others")),COUNT($R$5:R302)+1,"")</x:f>
      </x:c>
      <x:c r="S303" s="34" t="str">
        <x:f>IF(AND($B303&lt;&gt;"",$G303&lt;&gt;"Done",$G303&lt;&gt;"Canceled",OR($M303="Yes",$G303="Blocked",$G303="Waiting on Others")),COUNT($S$5:S302)+1,"")</x:f>
      </x:c>
    </x:row>
    <x:row r="304">
      <x:c r="A304" s="30"/>
      <x:c r="B304" s="30"/>
      <x:c r="C304" s="30"/>
      <x:c r="D304" s="30"/>
      <x:c r="E304" s="30"/>
      <x:c r="F304" s="30"/>
      <x:c r="G304" s="30"/>
      <x:c r="H304" s="31"/>
      <x:c r="I304" s="32"/>
      <x:c r="J304" s="33"/>
      <x:c r="K304" s="30"/>
      <x:c r="L304" s="30"/>
      <x:c r="M304" s="30"/>
      <x:c r="N304" s="30"/>
      <x:c r="O304" s="31"/>
      <x:c r="P304" s="30"/>
      <x:c r="Q304" s="30"/>
      <x:c r="R304" s="34" t="str">
        <x:f>IF(AND($B304&lt;&gt;"",$G304&lt;&gt;"Done",$G304&lt;&gt;"Canceled",OR($L304="Yes",$H304&lt;=TODAY()+1,$F304="P0 Critical",$F304="P1 High",$G304="Blocked",$G304="Waiting on Others")),COUNT($R$5:R303)+1,"")</x:f>
      </x:c>
      <x:c r="S304" s="34" t="str">
        <x:f>IF(AND($B304&lt;&gt;"",$G304&lt;&gt;"Done",$G304&lt;&gt;"Canceled",OR($M304="Yes",$G304="Blocked",$G304="Waiting on Others")),COUNT($S$5:S303)+1,"")</x:f>
      </x:c>
    </x:row>
    <x:row r="305">
      <x:c r="A305" s="30"/>
      <x:c r="B305" s="30"/>
      <x:c r="C305" s="30"/>
      <x:c r="D305" s="30"/>
      <x:c r="E305" s="30"/>
      <x:c r="F305" s="30"/>
      <x:c r="G305" s="30"/>
      <x:c r="H305" s="31"/>
      <x:c r="I305" s="32"/>
      <x:c r="J305" s="33"/>
      <x:c r="K305" s="30"/>
      <x:c r="L305" s="30"/>
      <x:c r="M305" s="30"/>
      <x:c r="N305" s="30"/>
      <x:c r="O305" s="31"/>
      <x:c r="P305" s="30"/>
      <x:c r="Q305" s="30"/>
      <x:c r="R305" s="34" t="str">
        <x:f>IF(AND($B305&lt;&gt;"",$G305&lt;&gt;"Done",$G305&lt;&gt;"Canceled",OR($L305="Yes",$H305&lt;=TODAY()+1,$F305="P0 Critical",$F305="P1 High",$G305="Blocked",$G305="Waiting on Others")),COUNT($R$5:R304)+1,"")</x:f>
      </x:c>
      <x:c r="S305" s="34" t="str">
        <x:f>IF(AND($B305&lt;&gt;"",$G305&lt;&gt;"Done",$G305&lt;&gt;"Canceled",OR($M305="Yes",$G305="Blocked",$G305="Waiting on Others")),COUNT($S$5:S304)+1,"")</x:f>
      </x:c>
    </x:row>
    <x:row r="306">
      <x:c r="A306" s="30"/>
      <x:c r="B306" s="30"/>
      <x:c r="C306" s="30"/>
      <x:c r="D306" s="30"/>
      <x:c r="E306" s="30"/>
      <x:c r="F306" s="30"/>
      <x:c r="G306" s="30"/>
      <x:c r="H306" s="31"/>
      <x:c r="I306" s="32"/>
      <x:c r="J306" s="33"/>
      <x:c r="K306" s="30"/>
      <x:c r="L306" s="30"/>
      <x:c r="M306" s="30"/>
      <x:c r="N306" s="30"/>
      <x:c r="O306" s="31"/>
      <x:c r="P306" s="30"/>
      <x:c r="Q306" s="30"/>
      <x:c r="R306" s="34" t="str">
        <x:f>IF(AND($B306&lt;&gt;"",$G306&lt;&gt;"Done",$G306&lt;&gt;"Canceled",OR($L306="Yes",$H306&lt;=TODAY()+1,$F306="P0 Critical",$F306="P1 High",$G306="Blocked",$G306="Waiting on Others")),COUNT($R$5:R305)+1,"")</x:f>
      </x:c>
      <x:c r="S306" s="34" t="str">
        <x:f>IF(AND($B306&lt;&gt;"",$G306&lt;&gt;"Done",$G306&lt;&gt;"Canceled",OR($M306="Yes",$G306="Blocked",$G306="Waiting on Others")),COUNT($S$5:S305)+1,"")</x:f>
      </x:c>
    </x:row>
    <x:row r="307">
      <x:c r="A307" s="30"/>
      <x:c r="B307" s="30"/>
      <x:c r="C307" s="30"/>
      <x:c r="D307" s="30"/>
      <x:c r="E307" s="30"/>
      <x:c r="F307" s="30"/>
      <x:c r="G307" s="30"/>
      <x:c r="H307" s="31"/>
      <x:c r="I307" s="32"/>
      <x:c r="J307" s="33"/>
      <x:c r="K307" s="30"/>
      <x:c r="L307" s="30"/>
      <x:c r="M307" s="30"/>
      <x:c r="N307" s="30"/>
      <x:c r="O307" s="31"/>
      <x:c r="P307" s="30"/>
      <x:c r="Q307" s="30"/>
      <x:c r="R307" s="34" t="str">
        <x:f>IF(AND($B307&lt;&gt;"",$G307&lt;&gt;"Done",$G307&lt;&gt;"Canceled",OR($L307="Yes",$H307&lt;=TODAY()+1,$F307="P0 Critical",$F307="P1 High",$G307="Blocked",$G307="Waiting on Others")),COUNT($R$5:R306)+1,"")</x:f>
      </x:c>
      <x:c r="S307" s="34" t="str">
        <x:f>IF(AND($B307&lt;&gt;"",$G307&lt;&gt;"Done",$G307&lt;&gt;"Canceled",OR($M307="Yes",$G307="Blocked",$G307="Waiting on Others")),COUNT($S$5:S306)+1,"")</x:f>
      </x:c>
    </x:row>
    <x:row r="308">
      <x:c r="A308" s="30"/>
      <x:c r="B308" s="30"/>
      <x:c r="C308" s="30"/>
      <x:c r="D308" s="30"/>
      <x:c r="E308" s="30"/>
      <x:c r="F308" s="30"/>
      <x:c r="G308" s="30"/>
      <x:c r="H308" s="31"/>
      <x:c r="I308" s="32"/>
      <x:c r="J308" s="33"/>
      <x:c r="K308" s="30"/>
      <x:c r="L308" s="30"/>
      <x:c r="M308" s="30"/>
      <x:c r="N308" s="30"/>
      <x:c r="O308" s="31"/>
      <x:c r="P308" s="30"/>
      <x:c r="Q308" s="30"/>
      <x:c r="R308" s="34" t="str">
        <x:f>IF(AND($B308&lt;&gt;"",$G308&lt;&gt;"Done",$G308&lt;&gt;"Canceled",OR($L308="Yes",$H308&lt;=TODAY()+1,$F308="P0 Critical",$F308="P1 High",$G308="Blocked",$G308="Waiting on Others")),COUNT($R$5:R307)+1,"")</x:f>
      </x:c>
      <x:c r="S308" s="34" t="str">
        <x:f>IF(AND($B308&lt;&gt;"",$G308&lt;&gt;"Done",$G308&lt;&gt;"Canceled",OR($M308="Yes",$G308="Blocked",$G308="Waiting on Others")),COUNT($S$5:S307)+1,"")</x:f>
      </x:c>
    </x:row>
    <x:row r="309">
      <x:c r="A309" s="30"/>
      <x:c r="B309" s="30"/>
      <x:c r="C309" s="30"/>
      <x:c r="D309" s="30"/>
      <x:c r="E309" s="30"/>
      <x:c r="F309" s="30"/>
      <x:c r="G309" s="30"/>
      <x:c r="H309" s="31"/>
      <x:c r="I309" s="32"/>
      <x:c r="J309" s="33"/>
      <x:c r="K309" s="30"/>
      <x:c r="L309" s="30"/>
      <x:c r="M309" s="30"/>
      <x:c r="N309" s="30"/>
      <x:c r="O309" s="31"/>
      <x:c r="P309" s="30"/>
      <x:c r="Q309" s="30"/>
      <x:c r="R309" s="34" t="str">
        <x:f>IF(AND($B309&lt;&gt;"",$G309&lt;&gt;"Done",$G309&lt;&gt;"Canceled",OR($L309="Yes",$H309&lt;=TODAY()+1,$F309="P0 Critical",$F309="P1 High",$G309="Blocked",$G309="Waiting on Others")),COUNT($R$5:R308)+1,"")</x:f>
      </x:c>
      <x:c r="S309" s="34" t="str">
        <x:f>IF(AND($B309&lt;&gt;"",$G309&lt;&gt;"Done",$G309&lt;&gt;"Canceled",OR($M309="Yes",$G309="Blocked",$G309="Waiting on Others")),COUNT($S$5:S308)+1,"")</x:f>
      </x:c>
    </x:row>
    <x:row r="310">
      <x:c r="A310" s="30"/>
      <x:c r="B310" s="30"/>
      <x:c r="C310" s="30"/>
      <x:c r="D310" s="30"/>
      <x:c r="E310" s="30"/>
      <x:c r="F310" s="30"/>
      <x:c r="G310" s="30"/>
      <x:c r="H310" s="31"/>
      <x:c r="I310" s="32"/>
      <x:c r="J310" s="33"/>
      <x:c r="K310" s="30"/>
      <x:c r="L310" s="30"/>
      <x:c r="M310" s="30"/>
      <x:c r="N310" s="30"/>
      <x:c r="O310" s="31"/>
      <x:c r="P310" s="30"/>
      <x:c r="Q310" s="30"/>
      <x:c r="R310" s="34" t="str">
        <x:f>IF(AND($B310&lt;&gt;"",$G310&lt;&gt;"Done",$G310&lt;&gt;"Canceled",OR($L310="Yes",$H310&lt;=TODAY()+1,$F310="P0 Critical",$F310="P1 High",$G310="Blocked",$G310="Waiting on Others")),COUNT($R$5:R309)+1,"")</x:f>
      </x:c>
      <x:c r="S310" s="34" t="str">
        <x:f>IF(AND($B310&lt;&gt;"",$G310&lt;&gt;"Done",$G310&lt;&gt;"Canceled",OR($M310="Yes",$G310="Blocked",$G310="Waiting on Others")),COUNT($S$5:S309)+1,"")</x:f>
      </x:c>
    </x:row>
    <x:row r="311">
      <x:c r="A311" s="30"/>
      <x:c r="B311" s="30"/>
      <x:c r="C311" s="30"/>
      <x:c r="D311" s="30"/>
      <x:c r="E311" s="30"/>
      <x:c r="F311" s="30"/>
      <x:c r="G311" s="30"/>
      <x:c r="H311" s="31"/>
      <x:c r="I311" s="32"/>
      <x:c r="J311" s="33"/>
      <x:c r="K311" s="30"/>
      <x:c r="L311" s="30"/>
      <x:c r="M311" s="30"/>
      <x:c r="N311" s="30"/>
      <x:c r="O311" s="31"/>
      <x:c r="P311" s="30"/>
      <x:c r="Q311" s="30"/>
      <x:c r="R311" s="34" t="str">
        <x:f>IF(AND($B311&lt;&gt;"",$G311&lt;&gt;"Done",$G311&lt;&gt;"Canceled",OR($L311="Yes",$H311&lt;=TODAY()+1,$F311="P0 Critical",$F311="P1 High",$G311="Blocked",$G311="Waiting on Others")),COUNT($R$5:R310)+1,"")</x:f>
      </x:c>
      <x:c r="S311" s="34" t="str">
        <x:f>IF(AND($B311&lt;&gt;"",$G311&lt;&gt;"Done",$G311&lt;&gt;"Canceled",OR($M311="Yes",$G311="Blocked",$G311="Waiting on Others")),COUNT($S$5:S310)+1,"")</x:f>
      </x:c>
    </x:row>
    <x:row r="312">
      <x:c r="A312" s="30"/>
      <x:c r="B312" s="30"/>
      <x:c r="C312" s="30"/>
      <x:c r="D312" s="30"/>
      <x:c r="E312" s="30"/>
      <x:c r="F312" s="30"/>
      <x:c r="G312" s="30"/>
      <x:c r="H312" s="31"/>
      <x:c r="I312" s="32"/>
      <x:c r="J312" s="33"/>
      <x:c r="K312" s="30"/>
      <x:c r="L312" s="30"/>
      <x:c r="M312" s="30"/>
      <x:c r="N312" s="30"/>
      <x:c r="O312" s="31"/>
      <x:c r="P312" s="30"/>
      <x:c r="Q312" s="30"/>
      <x:c r="R312" s="34" t="str">
        <x:f>IF(AND($B312&lt;&gt;"",$G312&lt;&gt;"Done",$G312&lt;&gt;"Canceled",OR($L312="Yes",$H312&lt;=TODAY()+1,$F312="P0 Critical",$F312="P1 High",$G312="Blocked",$G312="Waiting on Others")),COUNT($R$5:R311)+1,"")</x:f>
      </x:c>
      <x:c r="S312" s="34" t="str">
        <x:f>IF(AND($B312&lt;&gt;"",$G312&lt;&gt;"Done",$G312&lt;&gt;"Canceled",OR($M312="Yes",$G312="Blocked",$G312="Waiting on Others")),COUNT($S$5:S311)+1,"")</x:f>
      </x:c>
    </x:row>
    <x:row r="313">
      <x:c r="A313" s="30"/>
      <x:c r="B313" s="30"/>
      <x:c r="C313" s="30"/>
      <x:c r="D313" s="30"/>
      <x:c r="E313" s="30"/>
      <x:c r="F313" s="30"/>
      <x:c r="G313" s="30"/>
      <x:c r="H313" s="31"/>
      <x:c r="I313" s="32"/>
      <x:c r="J313" s="33"/>
      <x:c r="K313" s="30"/>
      <x:c r="L313" s="30"/>
      <x:c r="M313" s="30"/>
      <x:c r="N313" s="30"/>
      <x:c r="O313" s="31"/>
      <x:c r="P313" s="30"/>
      <x:c r="Q313" s="30"/>
      <x:c r="R313" s="34" t="str">
        <x:f>IF(AND($B313&lt;&gt;"",$G313&lt;&gt;"Done",$G313&lt;&gt;"Canceled",OR($L313="Yes",$H313&lt;=TODAY()+1,$F313="P0 Critical",$F313="P1 High",$G313="Blocked",$G313="Waiting on Others")),COUNT($R$5:R312)+1,"")</x:f>
      </x:c>
      <x:c r="S313" s="34" t="str">
        <x:f>IF(AND($B313&lt;&gt;"",$G313&lt;&gt;"Done",$G313&lt;&gt;"Canceled",OR($M313="Yes",$G313="Blocked",$G313="Waiting on Others")),COUNT($S$5:S312)+1,"")</x:f>
      </x:c>
    </x:row>
    <x:row r="314">
      <x:c r="A314" s="30"/>
      <x:c r="B314" s="30"/>
      <x:c r="C314" s="30"/>
      <x:c r="D314" s="30"/>
      <x:c r="E314" s="30"/>
      <x:c r="F314" s="30"/>
      <x:c r="G314" s="30"/>
      <x:c r="H314" s="31"/>
      <x:c r="I314" s="32"/>
      <x:c r="J314" s="33"/>
      <x:c r="K314" s="30"/>
      <x:c r="L314" s="30"/>
      <x:c r="M314" s="30"/>
      <x:c r="N314" s="30"/>
      <x:c r="O314" s="31"/>
      <x:c r="P314" s="30"/>
      <x:c r="Q314" s="30"/>
      <x:c r="R314" s="34" t="str">
        <x:f>IF(AND($B314&lt;&gt;"",$G314&lt;&gt;"Done",$G314&lt;&gt;"Canceled",OR($L314="Yes",$H314&lt;=TODAY()+1,$F314="P0 Critical",$F314="P1 High",$G314="Blocked",$G314="Waiting on Others")),COUNT($R$5:R313)+1,"")</x:f>
      </x:c>
      <x:c r="S314" s="34" t="str">
        <x:f>IF(AND($B314&lt;&gt;"",$G314&lt;&gt;"Done",$G314&lt;&gt;"Canceled",OR($M314="Yes",$G314="Blocked",$G314="Waiting on Others")),COUNT($S$5:S313)+1,"")</x:f>
      </x:c>
    </x:row>
    <x:row r="315">
      <x:c r="A315" s="30"/>
      <x:c r="B315" s="30"/>
      <x:c r="C315" s="30"/>
      <x:c r="D315" s="30"/>
      <x:c r="E315" s="30"/>
      <x:c r="F315" s="30"/>
      <x:c r="G315" s="30"/>
      <x:c r="H315" s="31"/>
      <x:c r="I315" s="32"/>
      <x:c r="J315" s="33"/>
      <x:c r="K315" s="30"/>
      <x:c r="L315" s="30"/>
      <x:c r="M315" s="30"/>
      <x:c r="N315" s="30"/>
      <x:c r="O315" s="31"/>
      <x:c r="P315" s="30"/>
      <x:c r="Q315" s="30"/>
      <x:c r="R315" s="34" t="str">
        <x:f>IF(AND($B315&lt;&gt;"",$G315&lt;&gt;"Done",$G315&lt;&gt;"Canceled",OR($L315="Yes",$H315&lt;=TODAY()+1,$F315="P0 Critical",$F315="P1 High",$G315="Blocked",$G315="Waiting on Others")),COUNT($R$5:R314)+1,"")</x:f>
      </x:c>
      <x:c r="S315" s="34" t="str">
        <x:f>IF(AND($B315&lt;&gt;"",$G315&lt;&gt;"Done",$G315&lt;&gt;"Canceled",OR($M315="Yes",$G315="Blocked",$G315="Waiting on Others")),COUNT($S$5:S314)+1,"")</x:f>
      </x:c>
    </x:row>
    <x:row r="316">
      <x:c r="A316" s="30"/>
      <x:c r="B316" s="30"/>
      <x:c r="C316" s="30"/>
      <x:c r="D316" s="30"/>
      <x:c r="E316" s="30"/>
      <x:c r="F316" s="30"/>
      <x:c r="G316" s="30"/>
      <x:c r="H316" s="31"/>
      <x:c r="I316" s="32"/>
      <x:c r="J316" s="33"/>
      <x:c r="K316" s="30"/>
      <x:c r="L316" s="30"/>
      <x:c r="M316" s="30"/>
      <x:c r="N316" s="30"/>
      <x:c r="O316" s="31"/>
      <x:c r="P316" s="30"/>
      <x:c r="Q316" s="30"/>
      <x:c r="R316" s="34" t="str">
        <x:f>IF(AND($B316&lt;&gt;"",$G316&lt;&gt;"Done",$G316&lt;&gt;"Canceled",OR($L316="Yes",$H316&lt;=TODAY()+1,$F316="P0 Critical",$F316="P1 High",$G316="Blocked",$G316="Waiting on Others")),COUNT($R$5:R315)+1,"")</x:f>
      </x:c>
      <x:c r="S316" s="34" t="str">
        <x:f>IF(AND($B316&lt;&gt;"",$G316&lt;&gt;"Done",$G316&lt;&gt;"Canceled",OR($M316="Yes",$G316="Blocked",$G316="Waiting on Others")),COUNT($S$5:S315)+1,"")</x:f>
      </x:c>
    </x:row>
    <x:row r="317">
      <x:c r="A317" s="30"/>
      <x:c r="B317" s="30"/>
      <x:c r="C317" s="30"/>
      <x:c r="D317" s="30"/>
      <x:c r="E317" s="30"/>
      <x:c r="F317" s="30"/>
      <x:c r="G317" s="30"/>
      <x:c r="H317" s="31"/>
      <x:c r="I317" s="32"/>
      <x:c r="J317" s="33"/>
      <x:c r="K317" s="30"/>
      <x:c r="L317" s="30"/>
      <x:c r="M317" s="30"/>
      <x:c r="N317" s="30"/>
      <x:c r="O317" s="31"/>
      <x:c r="P317" s="30"/>
      <x:c r="Q317" s="30"/>
      <x:c r="R317" s="34" t="str">
        <x:f>IF(AND($B317&lt;&gt;"",$G317&lt;&gt;"Done",$G317&lt;&gt;"Canceled",OR($L317="Yes",$H317&lt;=TODAY()+1,$F317="P0 Critical",$F317="P1 High",$G317="Blocked",$G317="Waiting on Others")),COUNT($R$5:R316)+1,"")</x:f>
      </x:c>
      <x:c r="S317" s="34" t="str">
        <x:f>IF(AND($B317&lt;&gt;"",$G317&lt;&gt;"Done",$G317&lt;&gt;"Canceled",OR($M317="Yes",$G317="Blocked",$G317="Waiting on Others")),COUNT($S$5:S316)+1,"")</x:f>
      </x:c>
    </x:row>
    <x:row r="318">
      <x:c r="A318" s="30"/>
      <x:c r="B318" s="30"/>
      <x:c r="C318" s="30"/>
      <x:c r="D318" s="30"/>
      <x:c r="E318" s="30"/>
      <x:c r="F318" s="30"/>
      <x:c r="G318" s="30"/>
      <x:c r="H318" s="31"/>
      <x:c r="I318" s="32"/>
      <x:c r="J318" s="33"/>
      <x:c r="K318" s="30"/>
      <x:c r="L318" s="30"/>
      <x:c r="M318" s="30"/>
      <x:c r="N318" s="30"/>
      <x:c r="O318" s="31"/>
      <x:c r="P318" s="30"/>
      <x:c r="Q318" s="30"/>
      <x:c r="R318" s="34" t="str">
        <x:f>IF(AND($B318&lt;&gt;"",$G318&lt;&gt;"Done",$G318&lt;&gt;"Canceled",OR($L318="Yes",$H318&lt;=TODAY()+1,$F318="P0 Critical",$F318="P1 High",$G318="Blocked",$G318="Waiting on Others")),COUNT($R$5:R317)+1,"")</x:f>
      </x:c>
      <x:c r="S318" s="34" t="str">
        <x:f>IF(AND($B318&lt;&gt;"",$G318&lt;&gt;"Done",$G318&lt;&gt;"Canceled",OR($M318="Yes",$G318="Blocked",$G318="Waiting on Others")),COUNT($S$5:S317)+1,"")</x:f>
      </x:c>
    </x:row>
    <x:row r="319">
      <x:c r="A319" s="30"/>
      <x:c r="B319" s="30"/>
      <x:c r="C319" s="30"/>
      <x:c r="D319" s="30"/>
      <x:c r="E319" s="30"/>
      <x:c r="F319" s="30"/>
      <x:c r="G319" s="30"/>
      <x:c r="H319" s="31"/>
      <x:c r="I319" s="32"/>
      <x:c r="J319" s="33"/>
      <x:c r="K319" s="30"/>
      <x:c r="L319" s="30"/>
      <x:c r="M319" s="30"/>
      <x:c r="N319" s="30"/>
      <x:c r="O319" s="31"/>
      <x:c r="P319" s="30"/>
      <x:c r="Q319" s="30"/>
      <x:c r="R319" s="34" t="str">
        <x:f>IF(AND($B319&lt;&gt;"",$G319&lt;&gt;"Done",$G319&lt;&gt;"Canceled",OR($L319="Yes",$H319&lt;=TODAY()+1,$F319="P0 Critical",$F319="P1 High",$G319="Blocked",$G319="Waiting on Others")),COUNT($R$5:R318)+1,"")</x:f>
      </x:c>
      <x:c r="S319" s="34" t="str">
        <x:f>IF(AND($B319&lt;&gt;"",$G319&lt;&gt;"Done",$G319&lt;&gt;"Canceled",OR($M319="Yes",$G319="Blocked",$G319="Waiting on Others")),COUNT($S$5:S318)+1,"")</x:f>
      </x:c>
    </x:row>
    <x:row r="320">
      <x:c r="A320" s="30"/>
      <x:c r="B320" s="30"/>
      <x:c r="C320" s="30"/>
      <x:c r="D320" s="30"/>
      <x:c r="E320" s="30"/>
      <x:c r="F320" s="30"/>
      <x:c r="G320" s="30"/>
      <x:c r="H320" s="31"/>
      <x:c r="I320" s="32"/>
      <x:c r="J320" s="33"/>
      <x:c r="K320" s="30"/>
      <x:c r="L320" s="30"/>
      <x:c r="M320" s="30"/>
      <x:c r="N320" s="30"/>
      <x:c r="O320" s="31"/>
      <x:c r="P320" s="30"/>
      <x:c r="Q320" s="30"/>
      <x:c r="R320" s="34" t="str">
        <x:f>IF(AND($B320&lt;&gt;"",$G320&lt;&gt;"Done",$G320&lt;&gt;"Canceled",OR($L320="Yes",$H320&lt;=TODAY()+1,$F320="P0 Critical",$F320="P1 High",$G320="Blocked",$G320="Waiting on Others")),COUNT($R$5:R319)+1,"")</x:f>
      </x:c>
      <x:c r="S320" s="34" t="str">
        <x:f>IF(AND($B320&lt;&gt;"",$G320&lt;&gt;"Done",$G320&lt;&gt;"Canceled",OR($M320="Yes",$G320="Blocked",$G320="Waiting on Others")),COUNT($S$5:S319)+1,"")</x:f>
      </x:c>
    </x:row>
    <x:row r="321">
      <x:c r="A321" s="30"/>
      <x:c r="B321" s="30"/>
      <x:c r="C321" s="30"/>
      <x:c r="D321" s="30"/>
      <x:c r="E321" s="30"/>
      <x:c r="F321" s="30"/>
      <x:c r="G321" s="30"/>
      <x:c r="H321" s="31"/>
      <x:c r="I321" s="32"/>
      <x:c r="J321" s="33"/>
      <x:c r="K321" s="30"/>
      <x:c r="L321" s="30"/>
      <x:c r="M321" s="30"/>
      <x:c r="N321" s="30"/>
      <x:c r="O321" s="31"/>
      <x:c r="P321" s="30"/>
      <x:c r="Q321" s="30"/>
      <x:c r="R321" s="34" t="str">
        <x:f>IF(AND($B321&lt;&gt;"",$G321&lt;&gt;"Done",$G321&lt;&gt;"Canceled",OR($L321="Yes",$H321&lt;=TODAY()+1,$F321="P0 Critical",$F321="P1 High",$G321="Blocked",$G321="Waiting on Others")),COUNT($R$5:R320)+1,"")</x:f>
      </x:c>
      <x:c r="S321" s="34" t="str">
        <x:f>IF(AND($B321&lt;&gt;"",$G321&lt;&gt;"Done",$G321&lt;&gt;"Canceled",OR($M321="Yes",$G321="Blocked",$G321="Waiting on Others")),COUNT($S$5:S320)+1,"")</x:f>
      </x:c>
    </x:row>
    <x:row r="322">
      <x:c r="A322" s="30"/>
      <x:c r="B322" s="30"/>
      <x:c r="C322" s="30"/>
      <x:c r="D322" s="30"/>
      <x:c r="E322" s="30"/>
      <x:c r="F322" s="30"/>
      <x:c r="G322" s="30"/>
      <x:c r="H322" s="31"/>
      <x:c r="I322" s="32"/>
      <x:c r="J322" s="33"/>
      <x:c r="K322" s="30"/>
      <x:c r="L322" s="30"/>
      <x:c r="M322" s="30"/>
      <x:c r="N322" s="30"/>
      <x:c r="O322" s="31"/>
      <x:c r="P322" s="30"/>
      <x:c r="Q322" s="30"/>
      <x:c r="R322" s="34" t="str">
        <x:f>IF(AND($B322&lt;&gt;"",$G322&lt;&gt;"Done",$G322&lt;&gt;"Canceled",OR($L322="Yes",$H322&lt;=TODAY()+1,$F322="P0 Critical",$F322="P1 High",$G322="Blocked",$G322="Waiting on Others")),COUNT($R$5:R321)+1,"")</x:f>
      </x:c>
      <x:c r="S322" s="34" t="str">
        <x:f>IF(AND($B322&lt;&gt;"",$G322&lt;&gt;"Done",$G322&lt;&gt;"Canceled",OR($M322="Yes",$G322="Blocked",$G322="Waiting on Others")),COUNT($S$5:S321)+1,"")</x:f>
      </x:c>
    </x:row>
    <x:row r="323">
      <x:c r="A323" s="30"/>
      <x:c r="B323" s="30"/>
      <x:c r="C323" s="30"/>
      <x:c r="D323" s="30"/>
      <x:c r="E323" s="30"/>
      <x:c r="F323" s="30"/>
      <x:c r="G323" s="30"/>
      <x:c r="H323" s="31"/>
      <x:c r="I323" s="32"/>
      <x:c r="J323" s="33"/>
      <x:c r="K323" s="30"/>
      <x:c r="L323" s="30"/>
      <x:c r="M323" s="30"/>
      <x:c r="N323" s="30"/>
      <x:c r="O323" s="31"/>
      <x:c r="P323" s="30"/>
      <x:c r="Q323" s="30"/>
      <x:c r="R323" s="34" t="str">
        <x:f>IF(AND($B323&lt;&gt;"",$G323&lt;&gt;"Done",$G323&lt;&gt;"Canceled",OR($L323="Yes",$H323&lt;=TODAY()+1,$F323="P0 Critical",$F323="P1 High",$G323="Blocked",$G323="Waiting on Others")),COUNT($R$5:R322)+1,"")</x:f>
      </x:c>
      <x:c r="S323" s="34" t="str">
        <x:f>IF(AND($B323&lt;&gt;"",$G323&lt;&gt;"Done",$G323&lt;&gt;"Canceled",OR($M323="Yes",$G323="Blocked",$G323="Waiting on Others")),COUNT($S$5:S322)+1,"")</x:f>
      </x:c>
    </x:row>
    <x:row r="324">
      <x:c r="A324" s="30"/>
      <x:c r="B324" s="30"/>
      <x:c r="C324" s="30"/>
      <x:c r="D324" s="30"/>
      <x:c r="E324" s="30"/>
      <x:c r="F324" s="30"/>
      <x:c r="G324" s="30"/>
      <x:c r="H324" s="31"/>
      <x:c r="I324" s="32"/>
      <x:c r="J324" s="33"/>
      <x:c r="K324" s="30"/>
      <x:c r="L324" s="30"/>
      <x:c r="M324" s="30"/>
      <x:c r="N324" s="30"/>
      <x:c r="O324" s="31"/>
      <x:c r="P324" s="30"/>
      <x:c r="Q324" s="30"/>
      <x:c r="R324" s="34" t="str">
        <x:f>IF(AND($B324&lt;&gt;"",$G324&lt;&gt;"Done",$G324&lt;&gt;"Canceled",OR($L324="Yes",$H324&lt;=TODAY()+1,$F324="P0 Critical",$F324="P1 High",$G324="Blocked",$G324="Waiting on Others")),COUNT($R$5:R323)+1,"")</x:f>
      </x:c>
      <x:c r="S324" s="34" t="str">
        <x:f>IF(AND($B324&lt;&gt;"",$G324&lt;&gt;"Done",$G324&lt;&gt;"Canceled",OR($M324="Yes",$G324="Blocked",$G324="Waiting on Others")),COUNT($S$5:S323)+1,"")</x:f>
      </x:c>
    </x:row>
    <x:row r="325">
      <x:c r="A325" s="30"/>
      <x:c r="B325" s="30"/>
      <x:c r="C325" s="30"/>
      <x:c r="D325" s="30"/>
      <x:c r="E325" s="30"/>
      <x:c r="F325" s="30"/>
      <x:c r="G325" s="30"/>
      <x:c r="H325" s="31"/>
      <x:c r="I325" s="32"/>
      <x:c r="J325" s="33"/>
      <x:c r="K325" s="30"/>
      <x:c r="L325" s="30"/>
      <x:c r="M325" s="30"/>
      <x:c r="N325" s="30"/>
      <x:c r="O325" s="31"/>
      <x:c r="P325" s="30"/>
      <x:c r="Q325" s="30"/>
      <x:c r="R325" s="34" t="str">
        <x:f>IF(AND($B325&lt;&gt;"",$G325&lt;&gt;"Done",$G325&lt;&gt;"Canceled",OR($L325="Yes",$H325&lt;=TODAY()+1,$F325="P0 Critical",$F325="P1 High",$G325="Blocked",$G325="Waiting on Others")),COUNT($R$5:R324)+1,"")</x:f>
      </x:c>
      <x:c r="S325" s="34" t="str">
        <x:f>IF(AND($B325&lt;&gt;"",$G325&lt;&gt;"Done",$G325&lt;&gt;"Canceled",OR($M325="Yes",$G325="Blocked",$G325="Waiting on Others")),COUNT($S$5:S324)+1,"")</x:f>
      </x:c>
    </x:row>
    <x:row r="326">
      <x:c r="A326" s="30"/>
      <x:c r="B326" s="30"/>
      <x:c r="C326" s="30"/>
      <x:c r="D326" s="30"/>
      <x:c r="E326" s="30"/>
      <x:c r="F326" s="30"/>
      <x:c r="G326" s="30"/>
      <x:c r="H326" s="31"/>
      <x:c r="I326" s="32"/>
      <x:c r="J326" s="33"/>
      <x:c r="K326" s="30"/>
      <x:c r="L326" s="30"/>
      <x:c r="M326" s="30"/>
      <x:c r="N326" s="30"/>
      <x:c r="O326" s="31"/>
      <x:c r="P326" s="30"/>
      <x:c r="Q326" s="30"/>
      <x:c r="R326" s="34" t="str">
        <x:f>IF(AND($B326&lt;&gt;"",$G326&lt;&gt;"Done",$G326&lt;&gt;"Canceled",OR($L326="Yes",$H326&lt;=TODAY()+1,$F326="P0 Critical",$F326="P1 High",$G326="Blocked",$G326="Waiting on Others")),COUNT($R$5:R325)+1,"")</x:f>
      </x:c>
      <x:c r="S326" s="34" t="str">
        <x:f>IF(AND($B326&lt;&gt;"",$G326&lt;&gt;"Done",$G326&lt;&gt;"Canceled",OR($M326="Yes",$G326="Blocked",$G326="Waiting on Others")),COUNT($S$5:S325)+1,"")</x:f>
      </x:c>
    </x:row>
    <x:row r="327">
      <x:c r="A327" s="30"/>
      <x:c r="B327" s="30"/>
      <x:c r="C327" s="30"/>
      <x:c r="D327" s="30"/>
      <x:c r="E327" s="30"/>
      <x:c r="F327" s="30"/>
      <x:c r="G327" s="30"/>
      <x:c r="H327" s="31"/>
      <x:c r="I327" s="32"/>
      <x:c r="J327" s="33"/>
      <x:c r="K327" s="30"/>
      <x:c r="L327" s="30"/>
      <x:c r="M327" s="30"/>
      <x:c r="N327" s="30"/>
      <x:c r="O327" s="31"/>
      <x:c r="P327" s="30"/>
      <x:c r="Q327" s="30"/>
      <x:c r="R327" s="34" t="str">
        <x:f>IF(AND($B327&lt;&gt;"",$G327&lt;&gt;"Done",$G327&lt;&gt;"Canceled",OR($L327="Yes",$H327&lt;=TODAY()+1,$F327="P0 Critical",$F327="P1 High",$G327="Blocked",$G327="Waiting on Others")),COUNT($R$5:R326)+1,"")</x:f>
      </x:c>
      <x:c r="S327" s="34" t="str">
        <x:f>IF(AND($B327&lt;&gt;"",$G327&lt;&gt;"Done",$G327&lt;&gt;"Canceled",OR($M327="Yes",$G327="Blocked",$G327="Waiting on Others")),COUNT($S$5:S326)+1,"")</x:f>
      </x:c>
    </x:row>
    <x:row r="328">
      <x:c r="A328" s="30"/>
      <x:c r="B328" s="30"/>
      <x:c r="C328" s="30"/>
      <x:c r="D328" s="30"/>
      <x:c r="E328" s="30"/>
      <x:c r="F328" s="30"/>
      <x:c r="G328" s="30"/>
      <x:c r="H328" s="31"/>
      <x:c r="I328" s="32"/>
      <x:c r="J328" s="33"/>
      <x:c r="K328" s="30"/>
      <x:c r="L328" s="30"/>
      <x:c r="M328" s="30"/>
      <x:c r="N328" s="30"/>
      <x:c r="O328" s="31"/>
      <x:c r="P328" s="30"/>
      <x:c r="Q328" s="30"/>
      <x:c r="R328" s="34" t="str">
        <x:f>IF(AND($B328&lt;&gt;"",$G328&lt;&gt;"Done",$G328&lt;&gt;"Canceled",OR($L328="Yes",$H328&lt;=TODAY()+1,$F328="P0 Critical",$F328="P1 High",$G328="Blocked",$G328="Waiting on Others")),COUNT($R$5:R327)+1,"")</x:f>
      </x:c>
      <x:c r="S328" s="34" t="str">
        <x:f>IF(AND($B328&lt;&gt;"",$G328&lt;&gt;"Done",$G328&lt;&gt;"Canceled",OR($M328="Yes",$G328="Blocked",$G328="Waiting on Others")),COUNT($S$5:S327)+1,"")</x:f>
      </x:c>
    </x:row>
    <x:row r="329">
      <x:c r="A329" s="30"/>
      <x:c r="B329" s="30"/>
      <x:c r="C329" s="30"/>
      <x:c r="D329" s="30"/>
      <x:c r="E329" s="30"/>
      <x:c r="F329" s="30"/>
      <x:c r="G329" s="30"/>
      <x:c r="H329" s="31"/>
      <x:c r="I329" s="32"/>
      <x:c r="J329" s="33"/>
      <x:c r="K329" s="30"/>
      <x:c r="L329" s="30"/>
      <x:c r="M329" s="30"/>
      <x:c r="N329" s="30"/>
      <x:c r="O329" s="31"/>
      <x:c r="P329" s="30"/>
      <x:c r="Q329" s="30"/>
      <x:c r="R329" s="34" t="str">
        <x:f>IF(AND($B329&lt;&gt;"",$G329&lt;&gt;"Done",$G329&lt;&gt;"Canceled",OR($L329="Yes",$H329&lt;=TODAY()+1,$F329="P0 Critical",$F329="P1 High",$G329="Blocked",$G329="Waiting on Others")),COUNT($R$5:R328)+1,"")</x:f>
      </x:c>
      <x:c r="S329" s="34" t="str">
        <x:f>IF(AND($B329&lt;&gt;"",$G329&lt;&gt;"Done",$G329&lt;&gt;"Canceled",OR($M329="Yes",$G329="Blocked",$G329="Waiting on Others")),COUNT($S$5:S328)+1,"")</x:f>
      </x:c>
    </x:row>
    <x:row r="330">
      <x:c r="A330" s="30"/>
      <x:c r="B330" s="30"/>
      <x:c r="C330" s="30"/>
      <x:c r="D330" s="30"/>
      <x:c r="E330" s="30"/>
      <x:c r="F330" s="30"/>
      <x:c r="G330" s="30"/>
      <x:c r="H330" s="31"/>
      <x:c r="I330" s="32"/>
      <x:c r="J330" s="33"/>
      <x:c r="K330" s="30"/>
      <x:c r="L330" s="30"/>
      <x:c r="M330" s="30"/>
      <x:c r="N330" s="30"/>
      <x:c r="O330" s="31"/>
      <x:c r="P330" s="30"/>
      <x:c r="Q330" s="30"/>
      <x:c r="R330" s="34" t="str">
        <x:f>IF(AND($B330&lt;&gt;"",$G330&lt;&gt;"Done",$G330&lt;&gt;"Canceled",OR($L330="Yes",$H330&lt;=TODAY()+1,$F330="P0 Critical",$F330="P1 High",$G330="Blocked",$G330="Waiting on Others")),COUNT($R$5:R329)+1,"")</x:f>
      </x:c>
      <x:c r="S330" s="34" t="str">
        <x:f>IF(AND($B330&lt;&gt;"",$G330&lt;&gt;"Done",$G330&lt;&gt;"Canceled",OR($M330="Yes",$G330="Blocked",$G330="Waiting on Others")),COUNT($S$5:S329)+1,"")</x:f>
      </x:c>
    </x:row>
    <x:row r="331">
      <x:c r="A331" s="30"/>
      <x:c r="B331" s="30"/>
      <x:c r="C331" s="30"/>
      <x:c r="D331" s="30"/>
      <x:c r="E331" s="30"/>
      <x:c r="F331" s="30"/>
      <x:c r="G331" s="30"/>
      <x:c r="H331" s="31"/>
      <x:c r="I331" s="32"/>
      <x:c r="J331" s="33"/>
      <x:c r="K331" s="30"/>
      <x:c r="L331" s="30"/>
      <x:c r="M331" s="30"/>
      <x:c r="N331" s="30"/>
      <x:c r="O331" s="31"/>
      <x:c r="P331" s="30"/>
      <x:c r="Q331" s="30"/>
      <x:c r="R331" s="34" t="str">
        <x:f>IF(AND($B331&lt;&gt;"",$G331&lt;&gt;"Done",$G331&lt;&gt;"Canceled",OR($L331="Yes",$H331&lt;=TODAY()+1,$F331="P0 Critical",$F331="P1 High",$G331="Blocked",$G331="Waiting on Others")),COUNT($R$5:R330)+1,"")</x:f>
      </x:c>
      <x:c r="S331" s="34" t="str">
        <x:f>IF(AND($B331&lt;&gt;"",$G331&lt;&gt;"Done",$G331&lt;&gt;"Canceled",OR($M331="Yes",$G331="Blocked",$G331="Waiting on Others")),COUNT($S$5:S330)+1,"")</x:f>
      </x:c>
    </x:row>
    <x:row r="332">
      <x:c r="A332" s="30"/>
      <x:c r="B332" s="30"/>
      <x:c r="C332" s="30"/>
      <x:c r="D332" s="30"/>
      <x:c r="E332" s="30"/>
      <x:c r="F332" s="30"/>
      <x:c r="G332" s="30"/>
      <x:c r="H332" s="31"/>
      <x:c r="I332" s="32"/>
      <x:c r="J332" s="33"/>
      <x:c r="K332" s="30"/>
      <x:c r="L332" s="30"/>
      <x:c r="M332" s="30"/>
      <x:c r="N332" s="30"/>
      <x:c r="O332" s="31"/>
      <x:c r="P332" s="30"/>
      <x:c r="Q332" s="30"/>
      <x:c r="R332" s="34" t="str">
        <x:f>IF(AND($B332&lt;&gt;"",$G332&lt;&gt;"Done",$G332&lt;&gt;"Canceled",OR($L332="Yes",$H332&lt;=TODAY()+1,$F332="P0 Critical",$F332="P1 High",$G332="Blocked",$G332="Waiting on Others")),COUNT($R$5:R331)+1,"")</x:f>
      </x:c>
      <x:c r="S332" s="34" t="str">
        <x:f>IF(AND($B332&lt;&gt;"",$G332&lt;&gt;"Done",$G332&lt;&gt;"Canceled",OR($M332="Yes",$G332="Blocked",$G332="Waiting on Others")),COUNT($S$5:S331)+1,"")</x:f>
      </x:c>
    </x:row>
    <x:row r="333">
      <x:c r="A333" s="30"/>
      <x:c r="B333" s="30"/>
      <x:c r="C333" s="30"/>
      <x:c r="D333" s="30"/>
      <x:c r="E333" s="30"/>
      <x:c r="F333" s="30"/>
      <x:c r="G333" s="30"/>
      <x:c r="H333" s="31"/>
      <x:c r="I333" s="32"/>
      <x:c r="J333" s="33"/>
      <x:c r="K333" s="30"/>
      <x:c r="L333" s="30"/>
      <x:c r="M333" s="30"/>
      <x:c r="N333" s="30"/>
      <x:c r="O333" s="31"/>
      <x:c r="P333" s="30"/>
      <x:c r="Q333" s="30"/>
      <x:c r="R333" s="34" t="str">
        <x:f>IF(AND($B333&lt;&gt;"",$G333&lt;&gt;"Done",$G333&lt;&gt;"Canceled",OR($L333="Yes",$H333&lt;=TODAY()+1,$F333="P0 Critical",$F333="P1 High",$G333="Blocked",$G333="Waiting on Others")),COUNT($R$5:R332)+1,"")</x:f>
      </x:c>
      <x:c r="S333" s="34" t="str">
        <x:f>IF(AND($B333&lt;&gt;"",$G333&lt;&gt;"Done",$G333&lt;&gt;"Canceled",OR($M333="Yes",$G333="Blocked",$G333="Waiting on Others")),COUNT($S$5:S332)+1,"")</x:f>
      </x:c>
    </x:row>
    <x:row r="334">
      <x:c r="A334" s="30"/>
      <x:c r="B334" s="30"/>
      <x:c r="C334" s="30"/>
      <x:c r="D334" s="30"/>
      <x:c r="E334" s="30"/>
      <x:c r="F334" s="30"/>
      <x:c r="G334" s="30"/>
      <x:c r="H334" s="31"/>
      <x:c r="I334" s="32"/>
      <x:c r="J334" s="33"/>
      <x:c r="K334" s="30"/>
      <x:c r="L334" s="30"/>
      <x:c r="M334" s="30"/>
      <x:c r="N334" s="30"/>
      <x:c r="O334" s="31"/>
      <x:c r="P334" s="30"/>
      <x:c r="Q334" s="30"/>
      <x:c r="R334" s="34" t="str">
        <x:f>IF(AND($B334&lt;&gt;"",$G334&lt;&gt;"Done",$G334&lt;&gt;"Canceled",OR($L334="Yes",$H334&lt;=TODAY()+1,$F334="P0 Critical",$F334="P1 High",$G334="Blocked",$G334="Waiting on Others")),COUNT($R$5:R333)+1,"")</x:f>
      </x:c>
      <x:c r="S334" s="34" t="str">
        <x:f>IF(AND($B334&lt;&gt;"",$G334&lt;&gt;"Done",$G334&lt;&gt;"Canceled",OR($M334="Yes",$G334="Blocked",$G334="Waiting on Others")),COUNT($S$5:S333)+1,"")</x:f>
      </x:c>
    </x:row>
    <x:row r="335">
      <x:c r="A335" s="30"/>
      <x:c r="B335" s="30"/>
      <x:c r="C335" s="30"/>
      <x:c r="D335" s="30"/>
      <x:c r="E335" s="30"/>
      <x:c r="F335" s="30"/>
      <x:c r="G335" s="30"/>
      <x:c r="H335" s="31"/>
      <x:c r="I335" s="32"/>
      <x:c r="J335" s="33"/>
      <x:c r="K335" s="30"/>
      <x:c r="L335" s="30"/>
      <x:c r="M335" s="30"/>
      <x:c r="N335" s="30"/>
      <x:c r="O335" s="31"/>
      <x:c r="P335" s="30"/>
      <x:c r="Q335" s="30"/>
      <x:c r="R335" s="34" t="str">
        <x:f>IF(AND($B335&lt;&gt;"",$G335&lt;&gt;"Done",$G335&lt;&gt;"Canceled",OR($L335="Yes",$H335&lt;=TODAY()+1,$F335="P0 Critical",$F335="P1 High",$G335="Blocked",$G335="Waiting on Others")),COUNT($R$5:R334)+1,"")</x:f>
      </x:c>
      <x:c r="S335" s="34" t="str">
        <x:f>IF(AND($B335&lt;&gt;"",$G335&lt;&gt;"Done",$G335&lt;&gt;"Canceled",OR($M335="Yes",$G335="Blocked",$G335="Waiting on Others")),COUNT($S$5:S334)+1,"")</x:f>
      </x:c>
    </x:row>
    <x:row r="336">
      <x:c r="A336" s="30"/>
      <x:c r="B336" s="30"/>
      <x:c r="C336" s="30"/>
      <x:c r="D336" s="30"/>
      <x:c r="E336" s="30"/>
      <x:c r="F336" s="30"/>
      <x:c r="G336" s="30"/>
      <x:c r="H336" s="31"/>
      <x:c r="I336" s="32"/>
      <x:c r="J336" s="33"/>
      <x:c r="K336" s="30"/>
      <x:c r="L336" s="30"/>
      <x:c r="M336" s="30"/>
      <x:c r="N336" s="30"/>
      <x:c r="O336" s="31"/>
      <x:c r="P336" s="30"/>
      <x:c r="Q336" s="30"/>
      <x:c r="R336" s="34" t="str">
        <x:f>IF(AND($B336&lt;&gt;"",$G336&lt;&gt;"Done",$G336&lt;&gt;"Canceled",OR($L336="Yes",$H336&lt;=TODAY()+1,$F336="P0 Critical",$F336="P1 High",$G336="Blocked",$G336="Waiting on Others")),COUNT($R$5:R335)+1,"")</x:f>
      </x:c>
      <x:c r="S336" s="34" t="str">
        <x:f>IF(AND($B336&lt;&gt;"",$G336&lt;&gt;"Done",$G336&lt;&gt;"Canceled",OR($M336="Yes",$G336="Blocked",$G336="Waiting on Others")),COUNT($S$5:S335)+1,"")</x:f>
      </x:c>
    </x:row>
    <x:row r="337">
      <x:c r="A337" s="30"/>
      <x:c r="B337" s="30"/>
      <x:c r="C337" s="30"/>
      <x:c r="D337" s="30"/>
      <x:c r="E337" s="30"/>
      <x:c r="F337" s="30"/>
      <x:c r="G337" s="30"/>
      <x:c r="H337" s="31"/>
      <x:c r="I337" s="32"/>
      <x:c r="J337" s="33"/>
      <x:c r="K337" s="30"/>
      <x:c r="L337" s="30"/>
      <x:c r="M337" s="30"/>
      <x:c r="N337" s="30"/>
      <x:c r="O337" s="31"/>
      <x:c r="P337" s="30"/>
      <x:c r="Q337" s="30"/>
      <x:c r="R337" s="34" t="str">
        <x:f>IF(AND($B337&lt;&gt;"",$G337&lt;&gt;"Done",$G337&lt;&gt;"Canceled",OR($L337="Yes",$H337&lt;=TODAY()+1,$F337="P0 Critical",$F337="P1 High",$G337="Blocked",$G337="Waiting on Others")),COUNT($R$5:R336)+1,"")</x:f>
      </x:c>
      <x:c r="S337" s="34" t="str">
        <x:f>IF(AND($B337&lt;&gt;"",$G337&lt;&gt;"Done",$G337&lt;&gt;"Canceled",OR($M337="Yes",$G337="Blocked",$G337="Waiting on Others")),COUNT($S$5:S336)+1,"")</x:f>
      </x:c>
    </x:row>
    <x:row r="338">
      <x:c r="A338" s="30"/>
      <x:c r="B338" s="30"/>
      <x:c r="C338" s="30"/>
      <x:c r="D338" s="30"/>
      <x:c r="E338" s="30"/>
      <x:c r="F338" s="30"/>
      <x:c r="G338" s="30"/>
      <x:c r="H338" s="31"/>
      <x:c r="I338" s="32"/>
      <x:c r="J338" s="33"/>
      <x:c r="K338" s="30"/>
      <x:c r="L338" s="30"/>
      <x:c r="M338" s="30"/>
      <x:c r="N338" s="30"/>
      <x:c r="O338" s="31"/>
      <x:c r="P338" s="30"/>
      <x:c r="Q338" s="30"/>
      <x:c r="R338" s="34" t="str">
        <x:f>IF(AND($B338&lt;&gt;"",$G338&lt;&gt;"Done",$G338&lt;&gt;"Canceled",OR($L338="Yes",$H338&lt;=TODAY()+1,$F338="P0 Critical",$F338="P1 High",$G338="Blocked",$G338="Waiting on Others")),COUNT($R$5:R337)+1,"")</x:f>
      </x:c>
      <x:c r="S338" s="34" t="str">
        <x:f>IF(AND($B338&lt;&gt;"",$G338&lt;&gt;"Done",$G338&lt;&gt;"Canceled",OR($M338="Yes",$G338="Blocked",$G338="Waiting on Others")),COUNT($S$5:S337)+1,"")</x:f>
      </x:c>
    </x:row>
    <x:row r="339">
      <x:c r="A339" s="30"/>
      <x:c r="B339" s="30"/>
      <x:c r="C339" s="30"/>
      <x:c r="D339" s="30"/>
      <x:c r="E339" s="30"/>
      <x:c r="F339" s="30"/>
      <x:c r="G339" s="30"/>
      <x:c r="H339" s="31"/>
      <x:c r="I339" s="32"/>
      <x:c r="J339" s="33"/>
      <x:c r="K339" s="30"/>
      <x:c r="L339" s="30"/>
      <x:c r="M339" s="30"/>
      <x:c r="N339" s="30"/>
      <x:c r="O339" s="31"/>
      <x:c r="P339" s="30"/>
      <x:c r="Q339" s="30"/>
      <x:c r="R339" s="34" t="str">
        <x:f>IF(AND($B339&lt;&gt;"",$G339&lt;&gt;"Done",$G339&lt;&gt;"Canceled",OR($L339="Yes",$H339&lt;=TODAY()+1,$F339="P0 Critical",$F339="P1 High",$G339="Blocked",$G339="Waiting on Others")),COUNT($R$5:R338)+1,"")</x:f>
      </x:c>
      <x:c r="S339" s="34" t="str">
        <x:f>IF(AND($B339&lt;&gt;"",$G339&lt;&gt;"Done",$G339&lt;&gt;"Canceled",OR($M339="Yes",$G339="Blocked",$G339="Waiting on Others")),COUNT($S$5:S338)+1,"")</x:f>
      </x:c>
    </x:row>
    <x:row r="340">
      <x:c r="A340" s="30"/>
      <x:c r="B340" s="30"/>
      <x:c r="C340" s="30"/>
      <x:c r="D340" s="30"/>
      <x:c r="E340" s="30"/>
      <x:c r="F340" s="30"/>
      <x:c r="G340" s="30"/>
      <x:c r="H340" s="31"/>
      <x:c r="I340" s="32"/>
      <x:c r="J340" s="33"/>
      <x:c r="K340" s="30"/>
      <x:c r="L340" s="30"/>
      <x:c r="M340" s="30"/>
      <x:c r="N340" s="30"/>
      <x:c r="O340" s="31"/>
      <x:c r="P340" s="30"/>
      <x:c r="Q340" s="30"/>
      <x:c r="R340" s="34" t="str">
        <x:f>IF(AND($B340&lt;&gt;"",$G340&lt;&gt;"Done",$G340&lt;&gt;"Canceled",OR($L340="Yes",$H340&lt;=TODAY()+1,$F340="P0 Critical",$F340="P1 High",$G340="Blocked",$G340="Waiting on Others")),COUNT($R$5:R339)+1,"")</x:f>
      </x:c>
      <x:c r="S340" s="34" t="str">
        <x:f>IF(AND($B340&lt;&gt;"",$G340&lt;&gt;"Done",$G340&lt;&gt;"Canceled",OR($M340="Yes",$G340="Blocked",$G340="Waiting on Others")),COUNT($S$5:S339)+1,"")</x:f>
      </x:c>
    </x:row>
    <x:row r="341">
      <x:c r="A341" s="30"/>
      <x:c r="B341" s="30"/>
      <x:c r="C341" s="30"/>
      <x:c r="D341" s="30"/>
      <x:c r="E341" s="30"/>
      <x:c r="F341" s="30"/>
      <x:c r="G341" s="30"/>
      <x:c r="H341" s="31"/>
      <x:c r="I341" s="32"/>
      <x:c r="J341" s="33"/>
      <x:c r="K341" s="30"/>
      <x:c r="L341" s="30"/>
      <x:c r="M341" s="30"/>
      <x:c r="N341" s="30"/>
      <x:c r="O341" s="31"/>
      <x:c r="P341" s="30"/>
      <x:c r="Q341" s="30"/>
      <x:c r="R341" s="34" t="str">
        <x:f>IF(AND($B341&lt;&gt;"",$G341&lt;&gt;"Done",$G341&lt;&gt;"Canceled",OR($L341="Yes",$H341&lt;=TODAY()+1,$F341="P0 Critical",$F341="P1 High",$G341="Blocked",$G341="Waiting on Others")),COUNT($R$5:R340)+1,"")</x:f>
      </x:c>
      <x:c r="S341" s="34" t="str">
        <x:f>IF(AND($B341&lt;&gt;"",$G341&lt;&gt;"Done",$G341&lt;&gt;"Canceled",OR($M341="Yes",$G341="Blocked",$G341="Waiting on Others")),COUNT($S$5:S340)+1,"")</x:f>
      </x:c>
    </x:row>
    <x:row r="342">
      <x:c r="A342" s="30"/>
      <x:c r="B342" s="30"/>
      <x:c r="C342" s="30"/>
      <x:c r="D342" s="30"/>
      <x:c r="E342" s="30"/>
      <x:c r="F342" s="30"/>
      <x:c r="G342" s="30"/>
      <x:c r="H342" s="31"/>
      <x:c r="I342" s="32"/>
      <x:c r="J342" s="33"/>
      <x:c r="K342" s="30"/>
      <x:c r="L342" s="30"/>
      <x:c r="M342" s="30"/>
      <x:c r="N342" s="30"/>
      <x:c r="O342" s="31"/>
      <x:c r="P342" s="30"/>
      <x:c r="Q342" s="30"/>
      <x:c r="R342" s="34" t="str">
        <x:f>IF(AND($B342&lt;&gt;"",$G342&lt;&gt;"Done",$G342&lt;&gt;"Canceled",OR($L342="Yes",$H342&lt;=TODAY()+1,$F342="P0 Critical",$F342="P1 High",$G342="Blocked",$G342="Waiting on Others")),COUNT($R$5:R341)+1,"")</x:f>
      </x:c>
      <x:c r="S342" s="34" t="str">
        <x:f>IF(AND($B342&lt;&gt;"",$G342&lt;&gt;"Done",$G342&lt;&gt;"Canceled",OR($M342="Yes",$G342="Blocked",$G342="Waiting on Others")),COUNT($S$5:S341)+1,"")</x:f>
      </x:c>
    </x:row>
    <x:row r="343">
      <x:c r="A343" s="30"/>
      <x:c r="B343" s="30"/>
      <x:c r="C343" s="30"/>
      <x:c r="D343" s="30"/>
      <x:c r="E343" s="30"/>
      <x:c r="F343" s="30"/>
      <x:c r="G343" s="30"/>
      <x:c r="H343" s="31"/>
      <x:c r="I343" s="32"/>
      <x:c r="J343" s="33"/>
      <x:c r="K343" s="30"/>
      <x:c r="L343" s="30"/>
      <x:c r="M343" s="30"/>
      <x:c r="N343" s="30"/>
      <x:c r="O343" s="31"/>
      <x:c r="P343" s="30"/>
      <x:c r="Q343" s="30"/>
      <x:c r="R343" s="34" t="str">
        <x:f>IF(AND($B343&lt;&gt;"",$G343&lt;&gt;"Done",$G343&lt;&gt;"Canceled",OR($L343="Yes",$H343&lt;=TODAY()+1,$F343="P0 Critical",$F343="P1 High",$G343="Blocked",$G343="Waiting on Others")),COUNT($R$5:R342)+1,"")</x:f>
      </x:c>
      <x:c r="S343" s="34" t="str">
        <x:f>IF(AND($B343&lt;&gt;"",$G343&lt;&gt;"Done",$G343&lt;&gt;"Canceled",OR($M343="Yes",$G343="Blocked",$G343="Waiting on Others")),COUNT($S$5:S342)+1,"")</x:f>
      </x:c>
    </x:row>
    <x:row r="344">
      <x:c r="A344" s="30"/>
      <x:c r="B344" s="30"/>
      <x:c r="C344" s="30"/>
      <x:c r="D344" s="30"/>
      <x:c r="E344" s="30"/>
      <x:c r="F344" s="30"/>
      <x:c r="G344" s="30"/>
      <x:c r="H344" s="31"/>
      <x:c r="I344" s="32"/>
      <x:c r="J344" s="33"/>
      <x:c r="K344" s="30"/>
      <x:c r="L344" s="30"/>
      <x:c r="M344" s="30"/>
      <x:c r="N344" s="30"/>
      <x:c r="O344" s="31"/>
      <x:c r="P344" s="30"/>
      <x:c r="Q344" s="30"/>
      <x:c r="R344" s="34" t="str">
        <x:f>IF(AND($B344&lt;&gt;"",$G344&lt;&gt;"Done",$G344&lt;&gt;"Canceled",OR($L344="Yes",$H344&lt;=TODAY()+1,$F344="P0 Critical",$F344="P1 High",$G344="Blocked",$G344="Waiting on Others")),COUNT($R$5:R343)+1,"")</x:f>
      </x:c>
      <x:c r="S344" s="34" t="str">
        <x:f>IF(AND($B344&lt;&gt;"",$G344&lt;&gt;"Done",$G344&lt;&gt;"Canceled",OR($M344="Yes",$G344="Blocked",$G344="Waiting on Others")),COUNT($S$5:S343)+1,"")</x:f>
      </x:c>
    </x:row>
    <x:row r="345">
      <x:c r="A345" s="30"/>
      <x:c r="B345" s="30"/>
      <x:c r="C345" s="30"/>
      <x:c r="D345" s="30"/>
      <x:c r="E345" s="30"/>
      <x:c r="F345" s="30"/>
      <x:c r="G345" s="30"/>
      <x:c r="H345" s="31"/>
      <x:c r="I345" s="32"/>
      <x:c r="J345" s="33"/>
      <x:c r="K345" s="30"/>
      <x:c r="L345" s="30"/>
      <x:c r="M345" s="30"/>
      <x:c r="N345" s="30"/>
      <x:c r="O345" s="31"/>
      <x:c r="P345" s="30"/>
      <x:c r="Q345" s="30"/>
      <x:c r="R345" s="34" t="str">
        <x:f>IF(AND($B345&lt;&gt;"",$G345&lt;&gt;"Done",$G345&lt;&gt;"Canceled",OR($L345="Yes",$H345&lt;=TODAY()+1,$F345="P0 Critical",$F345="P1 High",$G345="Blocked",$G345="Waiting on Others")),COUNT($R$5:R344)+1,"")</x:f>
      </x:c>
      <x:c r="S345" s="34" t="str">
        <x:f>IF(AND($B345&lt;&gt;"",$G345&lt;&gt;"Done",$G345&lt;&gt;"Canceled",OR($M345="Yes",$G345="Blocked",$G345="Waiting on Others")),COUNT($S$5:S344)+1,"")</x:f>
      </x:c>
    </x:row>
    <x:row r="346">
      <x:c r="A346" s="30"/>
      <x:c r="B346" s="30"/>
      <x:c r="C346" s="30"/>
      <x:c r="D346" s="30"/>
      <x:c r="E346" s="30"/>
      <x:c r="F346" s="30"/>
      <x:c r="G346" s="30"/>
      <x:c r="H346" s="31"/>
      <x:c r="I346" s="32"/>
      <x:c r="J346" s="33"/>
      <x:c r="K346" s="30"/>
      <x:c r="L346" s="30"/>
      <x:c r="M346" s="30"/>
      <x:c r="N346" s="30"/>
      <x:c r="O346" s="31"/>
      <x:c r="P346" s="30"/>
      <x:c r="Q346" s="30"/>
      <x:c r="R346" s="34" t="str">
        <x:f>IF(AND($B346&lt;&gt;"",$G346&lt;&gt;"Done",$G346&lt;&gt;"Canceled",OR($L346="Yes",$H346&lt;=TODAY()+1,$F346="P0 Critical",$F346="P1 High",$G346="Blocked",$G346="Waiting on Others")),COUNT($R$5:R345)+1,"")</x:f>
      </x:c>
      <x:c r="S346" s="34" t="str">
        <x:f>IF(AND($B346&lt;&gt;"",$G346&lt;&gt;"Done",$G346&lt;&gt;"Canceled",OR($M346="Yes",$G346="Blocked",$G346="Waiting on Others")),COUNT($S$5:S345)+1,"")</x:f>
      </x:c>
    </x:row>
    <x:row r="347">
      <x:c r="A347" s="30"/>
      <x:c r="B347" s="30"/>
      <x:c r="C347" s="30"/>
      <x:c r="D347" s="30"/>
      <x:c r="E347" s="30"/>
      <x:c r="F347" s="30"/>
      <x:c r="G347" s="30"/>
      <x:c r="H347" s="31"/>
      <x:c r="I347" s="32"/>
      <x:c r="J347" s="33"/>
      <x:c r="K347" s="30"/>
      <x:c r="L347" s="30"/>
      <x:c r="M347" s="30"/>
      <x:c r="N347" s="30"/>
      <x:c r="O347" s="31"/>
      <x:c r="P347" s="30"/>
      <x:c r="Q347" s="30"/>
      <x:c r="R347" s="34" t="str">
        <x:f>IF(AND($B347&lt;&gt;"",$G347&lt;&gt;"Done",$G347&lt;&gt;"Canceled",OR($L347="Yes",$H347&lt;=TODAY()+1,$F347="P0 Critical",$F347="P1 High",$G347="Blocked",$G347="Waiting on Others")),COUNT($R$5:R346)+1,"")</x:f>
      </x:c>
      <x:c r="S347" s="34" t="str">
        <x:f>IF(AND($B347&lt;&gt;"",$G347&lt;&gt;"Done",$G347&lt;&gt;"Canceled",OR($M347="Yes",$G347="Blocked",$G347="Waiting on Others")),COUNT($S$5:S346)+1,"")</x:f>
      </x:c>
    </x:row>
    <x:row r="348">
      <x:c r="A348" s="30"/>
      <x:c r="B348" s="30"/>
      <x:c r="C348" s="30"/>
      <x:c r="D348" s="30"/>
      <x:c r="E348" s="30"/>
      <x:c r="F348" s="30"/>
      <x:c r="G348" s="30"/>
      <x:c r="H348" s="31"/>
      <x:c r="I348" s="32"/>
      <x:c r="J348" s="33"/>
      <x:c r="K348" s="30"/>
      <x:c r="L348" s="30"/>
      <x:c r="M348" s="30"/>
      <x:c r="N348" s="30"/>
      <x:c r="O348" s="31"/>
      <x:c r="P348" s="30"/>
      <x:c r="Q348" s="30"/>
      <x:c r="R348" s="34" t="str">
        <x:f>IF(AND($B348&lt;&gt;"",$G348&lt;&gt;"Done",$G348&lt;&gt;"Canceled",OR($L348="Yes",$H348&lt;=TODAY()+1,$F348="P0 Critical",$F348="P1 High",$G348="Blocked",$G348="Waiting on Others")),COUNT($R$5:R347)+1,"")</x:f>
      </x:c>
      <x:c r="S348" s="34" t="str">
        <x:f>IF(AND($B348&lt;&gt;"",$G348&lt;&gt;"Done",$G348&lt;&gt;"Canceled",OR($M348="Yes",$G348="Blocked",$G348="Waiting on Others")),COUNT($S$5:S347)+1,"")</x:f>
      </x:c>
    </x:row>
    <x:row r="349">
      <x:c r="A349" s="30"/>
      <x:c r="B349" s="30"/>
      <x:c r="C349" s="30"/>
      <x:c r="D349" s="30"/>
      <x:c r="E349" s="30"/>
      <x:c r="F349" s="30"/>
      <x:c r="G349" s="30"/>
      <x:c r="H349" s="31"/>
      <x:c r="I349" s="32"/>
      <x:c r="J349" s="33"/>
      <x:c r="K349" s="30"/>
      <x:c r="L349" s="30"/>
      <x:c r="M349" s="30"/>
      <x:c r="N349" s="30"/>
      <x:c r="O349" s="31"/>
      <x:c r="P349" s="30"/>
      <x:c r="Q349" s="30"/>
      <x:c r="R349" s="34" t="str">
        <x:f>IF(AND($B349&lt;&gt;"",$G349&lt;&gt;"Done",$G349&lt;&gt;"Canceled",OR($L349="Yes",$H349&lt;=TODAY()+1,$F349="P0 Critical",$F349="P1 High",$G349="Blocked",$G349="Waiting on Others")),COUNT($R$5:R348)+1,"")</x:f>
      </x:c>
      <x:c r="S349" s="34" t="str">
        <x:f>IF(AND($B349&lt;&gt;"",$G349&lt;&gt;"Done",$G349&lt;&gt;"Canceled",OR($M349="Yes",$G349="Blocked",$G349="Waiting on Others")),COUNT($S$5:S348)+1,"")</x:f>
      </x:c>
    </x:row>
    <x:row r="350">
      <x:c r="A350" s="30"/>
      <x:c r="B350" s="30"/>
      <x:c r="C350" s="30"/>
      <x:c r="D350" s="30"/>
      <x:c r="E350" s="30"/>
      <x:c r="F350" s="30"/>
      <x:c r="G350" s="30"/>
      <x:c r="H350" s="31"/>
      <x:c r="I350" s="32"/>
      <x:c r="J350" s="33"/>
      <x:c r="K350" s="30"/>
      <x:c r="L350" s="30"/>
      <x:c r="M350" s="30"/>
      <x:c r="N350" s="30"/>
      <x:c r="O350" s="31"/>
      <x:c r="P350" s="30"/>
      <x:c r="Q350" s="30"/>
      <x:c r="R350" s="34" t="str">
        <x:f>IF(AND($B350&lt;&gt;"",$G350&lt;&gt;"Done",$G350&lt;&gt;"Canceled",OR($L350="Yes",$H350&lt;=TODAY()+1,$F350="P0 Critical",$F350="P1 High",$G350="Blocked",$G350="Waiting on Others")),COUNT($R$5:R349)+1,"")</x:f>
      </x:c>
      <x:c r="S350" s="34" t="str">
        <x:f>IF(AND($B350&lt;&gt;"",$G350&lt;&gt;"Done",$G350&lt;&gt;"Canceled",OR($M350="Yes",$G350="Blocked",$G350="Waiting on Others")),COUNT($S$5:S349)+1,"")</x:f>
      </x:c>
    </x:row>
    <x:row r="351">
      <x:c r="A351" s="30"/>
      <x:c r="B351" s="30"/>
      <x:c r="C351" s="30"/>
      <x:c r="D351" s="30"/>
      <x:c r="E351" s="30"/>
      <x:c r="F351" s="30"/>
      <x:c r="G351" s="30"/>
      <x:c r="H351" s="31"/>
      <x:c r="I351" s="32"/>
      <x:c r="J351" s="33"/>
      <x:c r="K351" s="30"/>
      <x:c r="L351" s="30"/>
      <x:c r="M351" s="30"/>
      <x:c r="N351" s="30"/>
      <x:c r="O351" s="31"/>
      <x:c r="P351" s="30"/>
      <x:c r="Q351" s="30"/>
      <x:c r="R351" s="34" t="str">
        <x:f>IF(AND($B351&lt;&gt;"",$G351&lt;&gt;"Done",$G351&lt;&gt;"Canceled",OR($L351="Yes",$H351&lt;=TODAY()+1,$F351="P0 Critical",$F351="P1 High",$G351="Blocked",$G351="Waiting on Others")),COUNT($R$5:R350)+1,"")</x:f>
      </x:c>
      <x:c r="S351" s="34" t="str">
        <x:f>IF(AND($B351&lt;&gt;"",$G351&lt;&gt;"Done",$G351&lt;&gt;"Canceled",OR($M351="Yes",$G351="Blocked",$G351="Waiting on Others")),COUNT($S$5:S350)+1,"")</x:f>
      </x:c>
    </x:row>
    <x:row r="352">
      <x:c r="A352" s="30"/>
      <x:c r="B352" s="30"/>
      <x:c r="C352" s="30"/>
      <x:c r="D352" s="30"/>
      <x:c r="E352" s="30"/>
      <x:c r="F352" s="30"/>
      <x:c r="G352" s="30"/>
      <x:c r="H352" s="31"/>
      <x:c r="I352" s="32"/>
      <x:c r="J352" s="33"/>
      <x:c r="K352" s="30"/>
      <x:c r="L352" s="30"/>
      <x:c r="M352" s="30"/>
      <x:c r="N352" s="30"/>
      <x:c r="O352" s="31"/>
      <x:c r="P352" s="30"/>
      <x:c r="Q352" s="30"/>
      <x:c r="R352" s="34" t="str">
        <x:f>IF(AND($B352&lt;&gt;"",$G352&lt;&gt;"Done",$G352&lt;&gt;"Canceled",OR($L352="Yes",$H352&lt;=TODAY()+1,$F352="P0 Critical",$F352="P1 High",$G352="Blocked",$G352="Waiting on Others")),COUNT($R$5:R351)+1,"")</x:f>
      </x:c>
      <x:c r="S352" s="34" t="str">
        <x:f>IF(AND($B352&lt;&gt;"",$G352&lt;&gt;"Done",$G352&lt;&gt;"Canceled",OR($M352="Yes",$G352="Blocked",$G352="Waiting on Others")),COUNT($S$5:S351)+1,"")</x:f>
      </x:c>
    </x:row>
    <x:row r="353">
      <x:c r="A353" s="30"/>
      <x:c r="B353" s="30"/>
      <x:c r="C353" s="30"/>
      <x:c r="D353" s="30"/>
      <x:c r="E353" s="30"/>
      <x:c r="F353" s="30"/>
      <x:c r="G353" s="30"/>
      <x:c r="H353" s="31"/>
      <x:c r="I353" s="32"/>
      <x:c r="J353" s="33"/>
      <x:c r="K353" s="30"/>
      <x:c r="L353" s="30"/>
      <x:c r="M353" s="30"/>
      <x:c r="N353" s="30"/>
      <x:c r="O353" s="31"/>
      <x:c r="P353" s="30"/>
      <x:c r="Q353" s="30"/>
      <x:c r="R353" s="34" t="str">
        <x:f>IF(AND($B353&lt;&gt;"",$G353&lt;&gt;"Done",$G353&lt;&gt;"Canceled",OR($L353="Yes",$H353&lt;=TODAY()+1,$F353="P0 Critical",$F353="P1 High",$G353="Blocked",$G353="Waiting on Others")),COUNT($R$5:R352)+1,"")</x:f>
      </x:c>
      <x:c r="S353" s="34" t="str">
        <x:f>IF(AND($B353&lt;&gt;"",$G353&lt;&gt;"Done",$G353&lt;&gt;"Canceled",OR($M353="Yes",$G353="Blocked",$G353="Waiting on Others")),COUNT($S$5:S352)+1,"")</x:f>
      </x:c>
    </x:row>
    <x:row r="354">
      <x:c r="A354" s="30"/>
      <x:c r="B354" s="30"/>
      <x:c r="C354" s="30"/>
      <x:c r="D354" s="30"/>
      <x:c r="E354" s="30"/>
      <x:c r="F354" s="30"/>
      <x:c r="G354" s="30"/>
      <x:c r="H354" s="31"/>
      <x:c r="I354" s="32"/>
      <x:c r="J354" s="33"/>
      <x:c r="K354" s="30"/>
      <x:c r="L354" s="30"/>
      <x:c r="M354" s="30"/>
      <x:c r="N354" s="30"/>
      <x:c r="O354" s="31"/>
      <x:c r="P354" s="30"/>
      <x:c r="Q354" s="30"/>
      <x:c r="R354" s="34" t="str">
        <x:f>IF(AND($B354&lt;&gt;"",$G354&lt;&gt;"Done",$G354&lt;&gt;"Canceled",OR($L354="Yes",$H354&lt;=TODAY()+1,$F354="P0 Critical",$F354="P1 High",$G354="Blocked",$G354="Waiting on Others")),COUNT($R$5:R353)+1,"")</x:f>
      </x:c>
      <x:c r="S354" s="34" t="str">
        <x:f>IF(AND($B354&lt;&gt;"",$G354&lt;&gt;"Done",$G354&lt;&gt;"Canceled",OR($M354="Yes",$G354="Blocked",$G354="Waiting on Others")),COUNT($S$5:S353)+1,"")</x:f>
      </x:c>
    </x:row>
    <x:row r="355">
      <x:c r="A355" s="30"/>
      <x:c r="B355" s="30"/>
      <x:c r="C355" s="30"/>
      <x:c r="D355" s="30"/>
      <x:c r="E355" s="30"/>
      <x:c r="F355" s="30"/>
      <x:c r="G355" s="30"/>
      <x:c r="H355" s="31"/>
      <x:c r="I355" s="32"/>
      <x:c r="J355" s="33"/>
      <x:c r="K355" s="30"/>
      <x:c r="L355" s="30"/>
      <x:c r="M355" s="30"/>
      <x:c r="N355" s="30"/>
      <x:c r="O355" s="31"/>
      <x:c r="P355" s="30"/>
      <x:c r="Q355" s="30"/>
      <x:c r="R355" s="34" t="str">
        <x:f>IF(AND($B355&lt;&gt;"",$G355&lt;&gt;"Done",$G355&lt;&gt;"Canceled",OR($L355="Yes",$H355&lt;=TODAY()+1,$F355="P0 Critical",$F355="P1 High",$G355="Blocked",$G355="Waiting on Others")),COUNT($R$5:R354)+1,"")</x:f>
      </x:c>
      <x:c r="S355" s="34" t="str">
        <x:f>IF(AND($B355&lt;&gt;"",$G355&lt;&gt;"Done",$G355&lt;&gt;"Canceled",OR($M355="Yes",$G355="Blocked",$G355="Waiting on Others")),COUNT($S$5:S354)+1,"")</x:f>
      </x:c>
    </x:row>
    <x:row r="356">
      <x:c r="A356" s="30"/>
      <x:c r="B356" s="30"/>
      <x:c r="C356" s="30"/>
      <x:c r="D356" s="30"/>
      <x:c r="E356" s="30"/>
      <x:c r="F356" s="30"/>
      <x:c r="G356" s="30"/>
      <x:c r="H356" s="31"/>
      <x:c r="I356" s="32"/>
      <x:c r="J356" s="33"/>
      <x:c r="K356" s="30"/>
      <x:c r="L356" s="30"/>
      <x:c r="M356" s="30"/>
      <x:c r="N356" s="30"/>
      <x:c r="O356" s="31"/>
      <x:c r="P356" s="30"/>
      <x:c r="Q356" s="30"/>
      <x:c r="R356" s="34" t="str">
        <x:f>IF(AND($B356&lt;&gt;"",$G356&lt;&gt;"Done",$G356&lt;&gt;"Canceled",OR($L356="Yes",$H356&lt;=TODAY()+1,$F356="P0 Critical",$F356="P1 High",$G356="Blocked",$G356="Waiting on Others")),COUNT($R$5:R355)+1,"")</x:f>
      </x:c>
      <x:c r="S356" s="34" t="str">
        <x:f>IF(AND($B356&lt;&gt;"",$G356&lt;&gt;"Done",$G356&lt;&gt;"Canceled",OR($M356="Yes",$G356="Blocked",$G356="Waiting on Others")),COUNT($S$5:S355)+1,"")</x:f>
      </x:c>
    </x:row>
    <x:row r="357">
      <x:c r="A357" s="30"/>
      <x:c r="B357" s="30"/>
      <x:c r="C357" s="30"/>
      <x:c r="D357" s="30"/>
      <x:c r="E357" s="30"/>
      <x:c r="F357" s="30"/>
      <x:c r="G357" s="30"/>
      <x:c r="H357" s="31"/>
      <x:c r="I357" s="32"/>
      <x:c r="J357" s="33"/>
      <x:c r="K357" s="30"/>
      <x:c r="L357" s="30"/>
      <x:c r="M357" s="30"/>
      <x:c r="N357" s="30"/>
      <x:c r="O357" s="31"/>
      <x:c r="P357" s="30"/>
      <x:c r="Q357" s="30"/>
      <x:c r="R357" s="34" t="str">
        <x:f>IF(AND($B357&lt;&gt;"",$G357&lt;&gt;"Done",$G357&lt;&gt;"Canceled",OR($L357="Yes",$H357&lt;=TODAY()+1,$F357="P0 Critical",$F357="P1 High",$G357="Blocked",$G357="Waiting on Others")),COUNT($R$5:R356)+1,"")</x:f>
      </x:c>
      <x:c r="S357" s="34" t="str">
        <x:f>IF(AND($B357&lt;&gt;"",$G357&lt;&gt;"Done",$G357&lt;&gt;"Canceled",OR($M357="Yes",$G357="Blocked",$G357="Waiting on Others")),COUNT($S$5:S356)+1,"")</x:f>
      </x:c>
    </x:row>
    <x:row r="358">
      <x:c r="A358" s="30"/>
      <x:c r="B358" s="30"/>
      <x:c r="C358" s="30"/>
      <x:c r="D358" s="30"/>
      <x:c r="E358" s="30"/>
      <x:c r="F358" s="30"/>
      <x:c r="G358" s="30"/>
      <x:c r="H358" s="31"/>
      <x:c r="I358" s="32"/>
      <x:c r="J358" s="33"/>
      <x:c r="K358" s="30"/>
      <x:c r="L358" s="30"/>
      <x:c r="M358" s="30"/>
      <x:c r="N358" s="30"/>
      <x:c r="O358" s="31"/>
      <x:c r="P358" s="30"/>
      <x:c r="Q358" s="30"/>
      <x:c r="R358" s="34" t="str">
        <x:f>IF(AND($B358&lt;&gt;"",$G358&lt;&gt;"Done",$G358&lt;&gt;"Canceled",OR($L358="Yes",$H358&lt;=TODAY()+1,$F358="P0 Critical",$F358="P1 High",$G358="Blocked",$G358="Waiting on Others")),COUNT($R$5:R357)+1,"")</x:f>
      </x:c>
      <x:c r="S358" s="34" t="str">
        <x:f>IF(AND($B358&lt;&gt;"",$G358&lt;&gt;"Done",$G358&lt;&gt;"Canceled",OR($M358="Yes",$G358="Blocked",$G358="Waiting on Others")),COUNT($S$5:S357)+1,"")</x:f>
      </x:c>
    </x:row>
    <x:row r="359">
      <x:c r="A359" s="30"/>
      <x:c r="B359" s="30"/>
      <x:c r="C359" s="30"/>
      <x:c r="D359" s="30"/>
      <x:c r="E359" s="30"/>
      <x:c r="F359" s="30"/>
      <x:c r="G359" s="30"/>
      <x:c r="H359" s="31"/>
      <x:c r="I359" s="32"/>
      <x:c r="J359" s="33"/>
      <x:c r="K359" s="30"/>
      <x:c r="L359" s="30"/>
      <x:c r="M359" s="30"/>
      <x:c r="N359" s="30"/>
      <x:c r="O359" s="31"/>
      <x:c r="P359" s="30"/>
      <x:c r="Q359" s="30"/>
      <x:c r="R359" s="34" t="str">
        <x:f>IF(AND($B359&lt;&gt;"",$G359&lt;&gt;"Done",$G359&lt;&gt;"Canceled",OR($L359="Yes",$H359&lt;=TODAY()+1,$F359="P0 Critical",$F359="P1 High",$G359="Blocked",$G359="Waiting on Others")),COUNT($R$5:R358)+1,"")</x:f>
      </x:c>
      <x:c r="S359" s="34" t="str">
        <x:f>IF(AND($B359&lt;&gt;"",$G359&lt;&gt;"Done",$G359&lt;&gt;"Canceled",OR($M359="Yes",$G359="Blocked",$G359="Waiting on Others")),COUNT($S$5:S358)+1,"")</x:f>
      </x:c>
    </x:row>
    <x:row r="360">
      <x:c r="A360" s="30"/>
      <x:c r="B360" s="30"/>
      <x:c r="C360" s="30"/>
      <x:c r="D360" s="30"/>
      <x:c r="E360" s="30"/>
      <x:c r="F360" s="30"/>
      <x:c r="G360" s="30"/>
      <x:c r="H360" s="31"/>
      <x:c r="I360" s="32"/>
      <x:c r="J360" s="33"/>
      <x:c r="K360" s="30"/>
      <x:c r="L360" s="30"/>
      <x:c r="M360" s="30"/>
      <x:c r="N360" s="30"/>
      <x:c r="O360" s="31"/>
      <x:c r="P360" s="30"/>
      <x:c r="Q360" s="30"/>
      <x:c r="R360" s="34" t="str">
        <x:f>IF(AND($B360&lt;&gt;"",$G360&lt;&gt;"Done",$G360&lt;&gt;"Canceled",OR($L360="Yes",$H360&lt;=TODAY()+1,$F360="P0 Critical",$F360="P1 High",$G360="Blocked",$G360="Waiting on Others")),COUNT($R$5:R359)+1,"")</x:f>
      </x:c>
      <x:c r="S360" s="34" t="str">
        <x:f>IF(AND($B360&lt;&gt;"",$G360&lt;&gt;"Done",$G360&lt;&gt;"Canceled",OR($M360="Yes",$G360="Blocked",$G360="Waiting on Others")),COUNT($S$5:S359)+1,"")</x:f>
      </x:c>
    </x:row>
    <x:row r="361">
      <x:c r="A361" s="30"/>
      <x:c r="B361" s="30"/>
      <x:c r="C361" s="30"/>
      <x:c r="D361" s="30"/>
      <x:c r="E361" s="30"/>
      <x:c r="F361" s="30"/>
      <x:c r="G361" s="30"/>
      <x:c r="H361" s="31"/>
      <x:c r="I361" s="32"/>
      <x:c r="J361" s="33"/>
      <x:c r="K361" s="30"/>
      <x:c r="L361" s="30"/>
      <x:c r="M361" s="30"/>
      <x:c r="N361" s="30"/>
      <x:c r="O361" s="31"/>
      <x:c r="P361" s="30"/>
      <x:c r="Q361" s="30"/>
      <x:c r="R361" s="34" t="str">
        <x:f>IF(AND($B361&lt;&gt;"",$G361&lt;&gt;"Done",$G361&lt;&gt;"Canceled",OR($L361="Yes",$H361&lt;=TODAY()+1,$F361="P0 Critical",$F361="P1 High",$G361="Blocked",$G361="Waiting on Others")),COUNT($R$5:R360)+1,"")</x:f>
      </x:c>
      <x:c r="S361" s="34" t="str">
        <x:f>IF(AND($B361&lt;&gt;"",$G361&lt;&gt;"Done",$G361&lt;&gt;"Canceled",OR($M361="Yes",$G361="Blocked",$G361="Waiting on Others")),COUNT($S$5:S360)+1,"")</x:f>
      </x:c>
    </x:row>
    <x:row r="362">
      <x:c r="A362" s="30"/>
      <x:c r="B362" s="30"/>
      <x:c r="C362" s="30"/>
      <x:c r="D362" s="30"/>
      <x:c r="E362" s="30"/>
      <x:c r="F362" s="30"/>
      <x:c r="G362" s="30"/>
      <x:c r="H362" s="31"/>
      <x:c r="I362" s="32"/>
      <x:c r="J362" s="33"/>
      <x:c r="K362" s="30"/>
      <x:c r="L362" s="30"/>
      <x:c r="M362" s="30"/>
      <x:c r="N362" s="30"/>
      <x:c r="O362" s="31"/>
      <x:c r="P362" s="30"/>
      <x:c r="Q362" s="30"/>
      <x:c r="R362" s="34" t="str">
        <x:f>IF(AND($B362&lt;&gt;"",$G362&lt;&gt;"Done",$G362&lt;&gt;"Canceled",OR($L362="Yes",$H362&lt;=TODAY()+1,$F362="P0 Critical",$F362="P1 High",$G362="Blocked",$G362="Waiting on Others")),COUNT($R$5:R361)+1,"")</x:f>
      </x:c>
      <x:c r="S362" s="34" t="str">
        <x:f>IF(AND($B362&lt;&gt;"",$G362&lt;&gt;"Done",$G362&lt;&gt;"Canceled",OR($M362="Yes",$G362="Blocked",$G362="Waiting on Others")),COUNT($S$5:S361)+1,"")</x:f>
      </x:c>
    </x:row>
    <x:row r="363">
      <x:c r="A363" s="30"/>
      <x:c r="B363" s="30"/>
      <x:c r="C363" s="30"/>
      <x:c r="D363" s="30"/>
      <x:c r="E363" s="30"/>
      <x:c r="F363" s="30"/>
      <x:c r="G363" s="30"/>
      <x:c r="H363" s="31"/>
      <x:c r="I363" s="32"/>
      <x:c r="J363" s="33"/>
      <x:c r="K363" s="30"/>
      <x:c r="L363" s="30"/>
      <x:c r="M363" s="30"/>
      <x:c r="N363" s="30"/>
      <x:c r="O363" s="31"/>
      <x:c r="P363" s="30"/>
      <x:c r="Q363" s="30"/>
      <x:c r="R363" s="34" t="str">
        <x:f>IF(AND($B363&lt;&gt;"",$G363&lt;&gt;"Done",$G363&lt;&gt;"Canceled",OR($L363="Yes",$H363&lt;=TODAY()+1,$F363="P0 Critical",$F363="P1 High",$G363="Blocked",$G363="Waiting on Others")),COUNT($R$5:R362)+1,"")</x:f>
      </x:c>
      <x:c r="S363" s="34" t="str">
        <x:f>IF(AND($B363&lt;&gt;"",$G363&lt;&gt;"Done",$G363&lt;&gt;"Canceled",OR($M363="Yes",$G363="Blocked",$G363="Waiting on Others")),COUNT($S$5:S362)+1,"")</x:f>
      </x:c>
    </x:row>
    <x:row r="364">
      <x:c r="A364" s="30"/>
      <x:c r="B364" s="30"/>
      <x:c r="C364" s="30"/>
      <x:c r="D364" s="30"/>
      <x:c r="E364" s="30"/>
      <x:c r="F364" s="30"/>
      <x:c r="G364" s="30"/>
      <x:c r="H364" s="31"/>
      <x:c r="I364" s="32"/>
      <x:c r="J364" s="33"/>
      <x:c r="K364" s="30"/>
      <x:c r="L364" s="30"/>
      <x:c r="M364" s="30"/>
      <x:c r="N364" s="30"/>
      <x:c r="O364" s="31"/>
      <x:c r="P364" s="30"/>
      <x:c r="Q364" s="30"/>
      <x:c r="R364" s="34" t="str">
        <x:f>IF(AND($B364&lt;&gt;"",$G364&lt;&gt;"Done",$G364&lt;&gt;"Canceled",OR($L364="Yes",$H364&lt;=TODAY()+1,$F364="P0 Critical",$F364="P1 High",$G364="Blocked",$G364="Waiting on Others")),COUNT($R$5:R363)+1,"")</x:f>
      </x:c>
      <x:c r="S364" s="34" t="str">
        <x:f>IF(AND($B364&lt;&gt;"",$G364&lt;&gt;"Done",$G364&lt;&gt;"Canceled",OR($M364="Yes",$G364="Blocked",$G364="Waiting on Others")),COUNT($S$5:S363)+1,"")</x:f>
      </x:c>
    </x:row>
    <x:row r="365">
      <x:c r="A365" s="30"/>
      <x:c r="B365" s="30"/>
      <x:c r="C365" s="30"/>
      <x:c r="D365" s="30"/>
      <x:c r="E365" s="30"/>
      <x:c r="F365" s="30"/>
      <x:c r="G365" s="30"/>
      <x:c r="H365" s="31"/>
      <x:c r="I365" s="32"/>
      <x:c r="J365" s="33"/>
      <x:c r="K365" s="30"/>
      <x:c r="L365" s="30"/>
      <x:c r="M365" s="30"/>
      <x:c r="N365" s="30"/>
      <x:c r="O365" s="31"/>
      <x:c r="P365" s="30"/>
      <x:c r="Q365" s="30"/>
      <x:c r="R365" s="34" t="str">
        <x:f>IF(AND($B365&lt;&gt;"",$G365&lt;&gt;"Done",$G365&lt;&gt;"Canceled",OR($L365="Yes",$H365&lt;=TODAY()+1,$F365="P0 Critical",$F365="P1 High",$G365="Blocked",$G365="Waiting on Others")),COUNT($R$5:R364)+1,"")</x:f>
      </x:c>
      <x:c r="S365" s="34" t="str">
        <x:f>IF(AND($B365&lt;&gt;"",$G365&lt;&gt;"Done",$G365&lt;&gt;"Canceled",OR($M365="Yes",$G365="Blocked",$G365="Waiting on Others")),COUNT($S$5:S364)+1,"")</x:f>
      </x:c>
    </x:row>
    <x:row r="366">
      <x:c r="A366" s="30"/>
      <x:c r="B366" s="30"/>
      <x:c r="C366" s="30"/>
      <x:c r="D366" s="30"/>
      <x:c r="E366" s="30"/>
      <x:c r="F366" s="30"/>
      <x:c r="G366" s="30"/>
      <x:c r="H366" s="31"/>
      <x:c r="I366" s="32"/>
      <x:c r="J366" s="33"/>
      <x:c r="K366" s="30"/>
      <x:c r="L366" s="30"/>
      <x:c r="M366" s="30"/>
      <x:c r="N366" s="30"/>
      <x:c r="O366" s="31"/>
      <x:c r="P366" s="30"/>
      <x:c r="Q366" s="30"/>
      <x:c r="R366" s="34" t="str">
        <x:f>IF(AND($B366&lt;&gt;"",$G366&lt;&gt;"Done",$G366&lt;&gt;"Canceled",OR($L366="Yes",$H366&lt;=TODAY()+1,$F366="P0 Critical",$F366="P1 High",$G366="Blocked",$G366="Waiting on Others")),COUNT($R$5:R365)+1,"")</x:f>
      </x:c>
      <x:c r="S366" s="34" t="str">
        <x:f>IF(AND($B366&lt;&gt;"",$G366&lt;&gt;"Done",$G366&lt;&gt;"Canceled",OR($M366="Yes",$G366="Blocked",$G366="Waiting on Others")),COUNT($S$5:S365)+1,"")</x:f>
      </x:c>
    </x:row>
    <x:row r="367">
      <x:c r="A367" s="30"/>
      <x:c r="B367" s="30"/>
      <x:c r="C367" s="30"/>
      <x:c r="D367" s="30"/>
      <x:c r="E367" s="30"/>
      <x:c r="F367" s="30"/>
      <x:c r="G367" s="30"/>
      <x:c r="H367" s="31"/>
      <x:c r="I367" s="32"/>
      <x:c r="J367" s="33"/>
      <x:c r="K367" s="30"/>
      <x:c r="L367" s="30"/>
      <x:c r="M367" s="30"/>
      <x:c r="N367" s="30"/>
      <x:c r="O367" s="31"/>
      <x:c r="P367" s="30"/>
      <x:c r="Q367" s="30"/>
      <x:c r="R367" s="34" t="str">
        <x:f>IF(AND($B367&lt;&gt;"",$G367&lt;&gt;"Done",$G367&lt;&gt;"Canceled",OR($L367="Yes",$H367&lt;=TODAY()+1,$F367="P0 Critical",$F367="P1 High",$G367="Blocked",$G367="Waiting on Others")),COUNT($R$5:R366)+1,"")</x:f>
      </x:c>
      <x:c r="S367" s="34" t="str">
        <x:f>IF(AND($B367&lt;&gt;"",$G367&lt;&gt;"Done",$G367&lt;&gt;"Canceled",OR($M367="Yes",$G367="Blocked",$G367="Waiting on Others")),COUNT($S$5:S366)+1,"")</x:f>
      </x:c>
    </x:row>
    <x:row r="368">
      <x:c r="A368" s="30"/>
      <x:c r="B368" s="30"/>
      <x:c r="C368" s="30"/>
      <x:c r="D368" s="30"/>
      <x:c r="E368" s="30"/>
      <x:c r="F368" s="30"/>
      <x:c r="G368" s="30"/>
      <x:c r="H368" s="31"/>
      <x:c r="I368" s="32"/>
      <x:c r="J368" s="33"/>
      <x:c r="K368" s="30"/>
      <x:c r="L368" s="30"/>
      <x:c r="M368" s="30"/>
      <x:c r="N368" s="30"/>
      <x:c r="O368" s="31"/>
      <x:c r="P368" s="30"/>
      <x:c r="Q368" s="30"/>
      <x:c r="R368" s="34" t="str">
        <x:f>IF(AND($B368&lt;&gt;"",$G368&lt;&gt;"Done",$G368&lt;&gt;"Canceled",OR($L368="Yes",$H368&lt;=TODAY()+1,$F368="P0 Critical",$F368="P1 High",$G368="Blocked",$G368="Waiting on Others")),COUNT($R$5:R367)+1,"")</x:f>
      </x:c>
      <x:c r="S368" s="34" t="str">
        <x:f>IF(AND($B368&lt;&gt;"",$G368&lt;&gt;"Done",$G368&lt;&gt;"Canceled",OR($M368="Yes",$G368="Blocked",$G368="Waiting on Others")),COUNT($S$5:S367)+1,"")</x:f>
      </x:c>
    </x:row>
    <x:row r="369">
      <x:c r="A369" s="30"/>
      <x:c r="B369" s="30"/>
      <x:c r="C369" s="30"/>
      <x:c r="D369" s="30"/>
      <x:c r="E369" s="30"/>
      <x:c r="F369" s="30"/>
      <x:c r="G369" s="30"/>
      <x:c r="H369" s="31"/>
      <x:c r="I369" s="32"/>
      <x:c r="J369" s="33"/>
      <x:c r="K369" s="30"/>
      <x:c r="L369" s="30"/>
      <x:c r="M369" s="30"/>
      <x:c r="N369" s="30"/>
      <x:c r="O369" s="31"/>
      <x:c r="P369" s="30"/>
      <x:c r="Q369" s="30"/>
      <x:c r="R369" s="34" t="str">
        <x:f>IF(AND($B369&lt;&gt;"",$G369&lt;&gt;"Done",$G369&lt;&gt;"Canceled",OR($L369="Yes",$H369&lt;=TODAY()+1,$F369="P0 Critical",$F369="P1 High",$G369="Blocked",$G369="Waiting on Others")),COUNT($R$5:R368)+1,"")</x:f>
      </x:c>
      <x:c r="S369" s="34" t="str">
        <x:f>IF(AND($B369&lt;&gt;"",$G369&lt;&gt;"Done",$G369&lt;&gt;"Canceled",OR($M369="Yes",$G369="Blocked",$G369="Waiting on Others")),COUNT($S$5:S368)+1,"")</x:f>
      </x:c>
    </x:row>
    <x:row r="370">
      <x:c r="A370" s="30"/>
      <x:c r="B370" s="30"/>
      <x:c r="C370" s="30"/>
      <x:c r="D370" s="30"/>
      <x:c r="E370" s="30"/>
      <x:c r="F370" s="30"/>
      <x:c r="G370" s="30"/>
      <x:c r="H370" s="31"/>
      <x:c r="I370" s="32"/>
      <x:c r="J370" s="33"/>
      <x:c r="K370" s="30"/>
      <x:c r="L370" s="30"/>
      <x:c r="M370" s="30"/>
      <x:c r="N370" s="30"/>
      <x:c r="O370" s="31"/>
      <x:c r="P370" s="30"/>
      <x:c r="Q370" s="30"/>
      <x:c r="R370" s="34" t="str">
        <x:f>IF(AND($B370&lt;&gt;"",$G370&lt;&gt;"Done",$G370&lt;&gt;"Canceled",OR($L370="Yes",$H370&lt;=TODAY()+1,$F370="P0 Critical",$F370="P1 High",$G370="Blocked",$G370="Waiting on Others")),COUNT($R$5:R369)+1,"")</x:f>
      </x:c>
      <x:c r="S370" s="34" t="str">
        <x:f>IF(AND($B370&lt;&gt;"",$G370&lt;&gt;"Done",$G370&lt;&gt;"Canceled",OR($M370="Yes",$G370="Blocked",$G370="Waiting on Others")),COUNT($S$5:S369)+1,"")</x:f>
      </x:c>
    </x:row>
    <x:row r="371">
      <x:c r="A371" s="30"/>
      <x:c r="B371" s="30"/>
      <x:c r="C371" s="30"/>
      <x:c r="D371" s="30"/>
      <x:c r="E371" s="30"/>
      <x:c r="F371" s="30"/>
      <x:c r="G371" s="30"/>
      <x:c r="H371" s="31"/>
      <x:c r="I371" s="32"/>
      <x:c r="J371" s="33"/>
      <x:c r="K371" s="30"/>
      <x:c r="L371" s="30"/>
      <x:c r="M371" s="30"/>
      <x:c r="N371" s="30"/>
      <x:c r="O371" s="31"/>
      <x:c r="P371" s="30"/>
      <x:c r="Q371" s="30"/>
      <x:c r="R371" s="34" t="str">
        <x:f>IF(AND($B371&lt;&gt;"",$G371&lt;&gt;"Done",$G371&lt;&gt;"Canceled",OR($L371="Yes",$H371&lt;=TODAY()+1,$F371="P0 Critical",$F371="P1 High",$G371="Blocked",$G371="Waiting on Others")),COUNT($R$5:R370)+1,"")</x:f>
      </x:c>
      <x:c r="S371" s="34" t="str">
        <x:f>IF(AND($B371&lt;&gt;"",$G371&lt;&gt;"Done",$G371&lt;&gt;"Canceled",OR($M371="Yes",$G371="Blocked",$G371="Waiting on Others")),COUNT($S$5:S370)+1,"")</x:f>
      </x:c>
    </x:row>
    <x:row r="372">
      <x:c r="A372" s="30"/>
      <x:c r="B372" s="30"/>
      <x:c r="C372" s="30"/>
      <x:c r="D372" s="30"/>
      <x:c r="E372" s="30"/>
      <x:c r="F372" s="30"/>
      <x:c r="G372" s="30"/>
      <x:c r="H372" s="31"/>
      <x:c r="I372" s="32"/>
      <x:c r="J372" s="33"/>
      <x:c r="K372" s="30"/>
      <x:c r="L372" s="30"/>
      <x:c r="M372" s="30"/>
      <x:c r="N372" s="30"/>
      <x:c r="O372" s="31"/>
      <x:c r="P372" s="30"/>
      <x:c r="Q372" s="30"/>
      <x:c r="R372" s="34" t="str">
        <x:f>IF(AND($B372&lt;&gt;"",$G372&lt;&gt;"Done",$G372&lt;&gt;"Canceled",OR($L372="Yes",$H372&lt;=TODAY()+1,$F372="P0 Critical",$F372="P1 High",$G372="Blocked",$G372="Waiting on Others")),COUNT($R$5:R371)+1,"")</x:f>
      </x:c>
      <x:c r="S372" s="34" t="str">
        <x:f>IF(AND($B372&lt;&gt;"",$G372&lt;&gt;"Done",$G372&lt;&gt;"Canceled",OR($M372="Yes",$G372="Blocked",$G372="Waiting on Others")),COUNT($S$5:S371)+1,"")</x:f>
      </x:c>
    </x:row>
    <x:row r="373">
      <x:c r="A373" s="30"/>
      <x:c r="B373" s="30"/>
      <x:c r="C373" s="30"/>
      <x:c r="D373" s="30"/>
      <x:c r="E373" s="30"/>
      <x:c r="F373" s="30"/>
      <x:c r="G373" s="30"/>
      <x:c r="H373" s="31"/>
      <x:c r="I373" s="32"/>
      <x:c r="J373" s="33"/>
      <x:c r="K373" s="30"/>
      <x:c r="L373" s="30"/>
      <x:c r="M373" s="30"/>
      <x:c r="N373" s="30"/>
      <x:c r="O373" s="31"/>
      <x:c r="P373" s="30"/>
      <x:c r="Q373" s="30"/>
      <x:c r="R373" s="34" t="str">
        <x:f>IF(AND($B373&lt;&gt;"",$G373&lt;&gt;"Done",$G373&lt;&gt;"Canceled",OR($L373="Yes",$H373&lt;=TODAY()+1,$F373="P0 Critical",$F373="P1 High",$G373="Blocked",$G373="Waiting on Others")),COUNT($R$5:R372)+1,"")</x:f>
      </x:c>
      <x:c r="S373" s="34" t="str">
        <x:f>IF(AND($B373&lt;&gt;"",$G373&lt;&gt;"Done",$G373&lt;&gt;"Canceled",OR($M373="Yes",$G373="Blocked",$G373="Waiting on Others")),COUNT($S$5:S372)+1,"")</x:f>
      </x:c>
    </x:row>
    <x:row r="374">
      <x:c r="A374" s="30"/>
      <x:c r="B374" s="30"/>
      <x:c r="C374" s="30"/>
      <x:c r="D374" s="30"/>
      <x:c r="E374" s="30"/>
      <x:c r="F374" s="30"/>
      <x:c r="G374" s="30"/>
      <x:c r="H374" s="31"/>
      <x:c r="I374" s="32"/>
      <x:c r="J374" s="33"/>
      <x:c r="K374" s="30"/>
      <x:c r="L374" s="30"/>
      <x:c r="M374" s="30"/>
      <x:c r="N374" s="30"/>
      <x:c r="O374" s="31"/>
      <x:c r="P374" s="30"/>
      <x:c r="Q374" s="30"/>
      <x:c r="R374" s="34" t="str">
        <x:f>IF(AND($B374&lt;&gt;"",$G374&lt;&gt;"Done",$G374&lt;&gt;"Canceled",OR($L374="Yes",$H374&lt;=TODAY()+1,$F374="P0 Critical",$F374="P1 High",$G374="Blocked",$G374="Waiting on Others")),COUNT($R$5:R373)+1,"")</x:f>
      </x:c>
      <x:c r="S374" s="34" t="str">
        <x:f>IF(AND($B374&lt;&gt;"",$G374&lt;&gt;"Done",$G374&lt;&gt;"Canceled",OR($M374="Yes",$G374="Blocked",$G374="Waiting on Others")),COUNT($S$5:S373)+1,"")</x:f>
      </x:c>
    </x:row>
    <x:row r="375">
      <x:c r="A375" s="30"/>
      <x:c r="B375" s="30"/>
      <x:c r="C375" s="30"/>
      <x:c r="D375" s="30"/>
      <x:c r="E375" s="30"/>
      <x:c r="F375" s="30"/>
      <x:c r="G375" s="30"/>
      <x:c r="H375" s="31"/>
      <x:c r="I375" s="32"/>
      <x:c r="J375" s="33"/>
      <x:c r="K375" s="30"/>
      <x:c r="L375" s="30"/>
      <x:c r="M375" s="30"/>
      <x:c r="N375" s="30"/>
      <x:c r="O375" s="31"/>
      <x:c r="P375" s="30"/>
      <x:c r="Q375" s="30"/>
      <x:c r="R375" s="34" t="str">
        <x:f>IF(AND($B375&lt;&gt;"",$G375&lt;&gt;"Done",$G375&lt;&gt;"Canceled",OR($L375="Yes",$H375&lt;=TODAY()+1,$F375="P0 Critical",$F375="P1 High",$G375="Blocked",$G375="Waiting on Others")),COUNT($R$5:R374)+1,"")</x:f>
      </x:c>
      <x:c r="S375" s="34" t="str">
        <x:f>IF(AND($B375&lt;&gt;"",$G375&lt;&gt;"Done",$G375&lt;&gt;"Canceled",OR($M375="Yes",$G375="Blocked",$G375="Waiting on Others")),COUNT($S$5:S374)+1,"")</x:f>
      </x:c>
    </x:row>
    <x:row r="376">
      <x:c r="A376" s="30"/>
      <x:c r="B376" s="30"/>
      <x:c r="C376" s="30"/>
      <x:c r="D376" s="30"/>
      <x:c r="E376" s="30"/>
      <x:c r="F376" s="30"/>
      <x:c r="G376" s="30"/>
      <x:c r="H376" s="31"/>
      <x:c r="I376" s="32"/>
      <x:c r="J376" s="33"/>
      <x:c r="K376" s="30"/>
      <x:c r="L376" s="30"/>
      <x:c r="M376" s="30"/>
      <x:c r="N376" s="30"/>
      <x:c r="O376" s="31"/>
      <x:c r="P376" s="30"/>
      <x:c r="Q376" s="30"/>
      <x:c r="R376" s="34" t="str">
        <x:f>IF(AND($B376&lt;&gt;"",$G376&lt;&gt;"Done",$G376&lt;&gt;"Canceled",OR($L376="Yes",$H376&lt;=TODAY()+1,$F376="P0 Critical",$F376="P1 High",$G376="Blocked",$G376="Waiting on Others")),COUNT($R$5:R375)+1,"")</x:f>
      </x:c>
      <x:c r="S376" s="34" t="str">
        <x:f>IF(AND($B376&lt;&gt;"",$G376&lt;&gt;"Done",$G376&lt;&gt;"Canceled",OR($M376="Yes",$G376="Blocked",$G376="Waiting on Others")),COUNT($S$5:S375)+1,"")</x:f>
      </x:c>
    </x:row>
    <x:row r="377">
      <x:c r="A377" s="30"/>
      <x:c r="B377" s="30"/>
      <x:c r="C377" s="30"/>
      <x:c r="D377" s="30"/>
      <x:c r="E377" s="30"/>
      <x:c r="F377" s="30"/>
      <x:c r="G377" s="30"/>
      <x:c r="H377" s="31"/>
      <x:c r="I377" s="32"/>
      <x:c r="J377" s="33"/>
      <x:c r="K377" s="30"/>
      <x:c r="L377" s="30"/>
      <x:c r="M377" s="30"/>
      <x:c r="N377" s="30"/>
      <x:c r="O377" s="31"/>
      <x:c r="P377" s="30"/>
      <x:c r="Q377" s="30"/>
      <x:c r="R377" s="34" t="str">
        <x:f>IF(AND($B377&lt;&gt;"",$G377&lt;&gt;"Done",$G377&lt;&gt;"Canceled",OR($L377="Yes",$H377&lt;=TODAY()+1,$F377="P0 Critical",$F377="P1 High",$G377="Blocked",$G377="Waiting on Others")),COUNT($R$5:R376)+1,"")</x:f>
      </x:c>
      <x:c r="S377" s="34" t="str">
        <x:f>IF(AND($B377&lt;&gt;"",$G377&lt;&gt;"Done",$G377&lt;&gt;"Canceled",OR($M377="Yes",$G377="Blocked",$G377="Waiting on Others")),COUNT($S$5:S376)+1,"")</x:f>
      </x:c>
    </x:row>
    <x:row r="378">
      <x:c r="A378" s="30"/>
      <x:c r="B378" s="30"/>
      <x:c r="C378" s="30"/>
      <x:c r="D378" s="30"/>
      <x:c r="E378" s="30"/>
      <x:c r="F378" s="30"/>
      <x:c r="G378" s="30"/>
      <x:c r="H378" s="31"/>
      <x:c r="I378" s="32"/>
      <x:c r="J378" s="33"/>
      <x:c r="K378" s="30"/>
      <x:c r="L378" s="30"/>
      <x:c r="M378" s="30"/>
      <x:c r="N378" s="30"/>
      <x:c r="O378" s="31"/>
      <x:c r="P378" s="30"/>
      <x:c r="Q378" s="30"/>
      <x:c r="R378" s="34" t="str">
        <x:f>IF(AND($B378&lt;&gt;"",$G378&lt;&gt;"Done",$G378&lt;&gt;"Canceled",OR($L378="Yes",$H378&lt;=TODAY()+1,$F378="P0 Critical",$F378="P1 High",$G378="Blocked",$G378="Waiting on Others")),COUNT($R$5:R377)+1,"")</x:f>
      </x:c>
      <x:c r="S378" s="34" t="str">
        <x:f>IF(AND($B378&lt;&gt;"",$G378&lt;&gt;"Done",$G378&lt;&gt;"Canceled",OR($M378="Yes",$G378="Blocked",$G378="Waiting on Others")),COUNT($S$5:S377)+1,"")</x:f>
      </x:c>
    </x:row>
    <x:row r="379">
      <x:c r="A379" s="30"/>
      <x:c r="B379" s="30"/>
      <x:c r="C379" s="30"/>
      <x:c r="D379" s="30"/>
      <x:c r="E379" s="30"/>
      <x:c r="F379" s="30"/>
      <x:c r="G379" s="30"/>
      <x:c r="H379" s="31"/>
      <x:c r="I379" s="32"/>
      <x:c r="J379" s="33"/>
      <x:c r="K379" s="30"/>
      <x:c r="L379" s="30"/>
      <x:c r="M379" s="30"/>
      <x:c r="N379" s="30"/>
      <x:c r="O379" s="31"/>
      <x:c r="P379" s="30"/>
      <x:c r="Q379" s="30"/>
      <x:c r="R379" s="34" t="str">
        <x:f>IF(AND($B379&lt;&gt;"",$G379&lt;&gt;"Done",$G379&lt;&gt;"Canceled",OR($L379="Yes",$H379&lt;=TODAY()+1,$F379="P0 Critical",$F379="P1 High",$G379="Blocked",$G379="Waiting on Others")),COUNT($R$5:R378)+1,"")</x:f>
      </x:c>
      <x:c r="S379" s="34" t="str">
        <x:f>IF(AND($B379&lt;&gt;"",$G379&lt;&gt;"Done",$G379&lt;&gt;"Canceled",OR($M379="Yes",$G379="Blocked",$G379="Waiting on Others")),COUNT($S$5:S378)+1,"")</x:f>
      </x:c>
    </x:row>
    <x:row r="380">
      <x:c r="A380" s="30"/>
      <x:c r="B380" s="30"/>
      <x:c r="C380" s="30"/>
      <x:c r="D380" s="30"/>
      <x:c r="E380" s="30"/>
      <x:c r="F380" s="30"/>
      <x:c r="G380" s="30"/>
      <x:c r="H380" s="31"/>
      <x:c r="I380" s="32"/>
      <x:c r="J380" s="33"/>
      <x:c r="K380" s="30"/>
      <x:c r="L380" s="30"/>
      <x:c r="M380" s="30"/>
      <x:c r="N380" s="30"/>
      <x:c r="O380" s="31"/>
      <x:c r="P380" s="30"/>
      <x:c r="Q380" s="30"/>
      <x:c r="R380" s="34" t="str">
        <x:f>IF(AND($B380&lt;&gt;"",$G380&lt;&gt;"Done",$G380&lt;&gt;"Canceled",OR($L380="Yes",$H380&lt;=TODAY()+1,$F380="P0 Critical",$F380="P1 High",$G380="Blocked",$G380="Waiting on Others")),COUNT($R$5:R379)+1,"")</x:f>
      </x:c>
      <x:c r="S380" s="34" t="str">
        <x:f>IF(AND($B380&lt;&gt;"",$G380&lt;&gt;"Done",$G380&lt;&gt;"Canceled",OR($M380="Yes",$G380="Blocked",$G380="Waiting on Others")),COUNT($S$5:S379)+1,"")</x:f>
      </x:c>
    </x:row>
    <x:row r="381">
      <x:c r="A381" s="30"/>
      <x:c r="B381" s="30"/>
      <x:c r="C381" s="30"/>
      <x:c r="D381" s="30"/>
      <x:c r="E381" s="30"/>
      <x:c r="F381" s="30"/>
      <x:c r="G381" s="30"/>
      <x:c r="H381" s="31"/>
      <x:c r="I381" s="32"/>
      <x:c r="J381" s="33"/>
      <x:c r="K381" s="30"/>
      <x:c r="L381" s="30"/>
      <x:c r="M381" s="30"/>
      <x:c r="N381" s="30"/>
      <x:c r="O381" s="31"/>
      <x:c r="P381" s="30"/>
      <x:c r="Q381" s="30"/>
      <x:c r="R381" s="34" t="str">
        <x:f>IF(AND($B381&lt;&gt;"",$G381&lt;&gt;"Done",$G381&lt;&gt;"Canceled",OR($L381="Yes",$H381&lt;=TODAY()+1,$F381="P0 Critical",$F381="P1 High",$G381="Blocked",$G381="Waiting on Others")),COUNT($R$5:R380)+1,"")</x:f>
      </x:c>
      <x:c r="S381" s="34" t="str">
        <x:f>IF(AND($B381&lt;&gt;"",$G381&lt;&gt;"Done",$G381&lt;&gt;"Canceled",OR($M381="Yes",$G381="Blocked",$G381="Waiting on Others")),COUNT($S$5:S380)+1,"")</x:f>
      </x:c>
    </x:row>
    <x:row r="382">
      <x:c r="A382" s="30"/>
      <x:c r="B382" s="30"/>
      <x:c r="C382" s="30"/>
      <x:c r="D382" s="30"/>
      <x:c r="E382" s="30"/>
      <x:c r="F382" s="30"/>
      <x:c r="G382" s="30"/>
      <x:c r="H382" s="31"/>
      <x:c r="I382" s="32"/>
      <x:c r="J382" s="33"/>
      <x:c r="K382" s="30"/>
      <x:c r="L382" s="30"/>
      <x:c r="M382" s="30"/>
      <x:c r="N382" s="30"/>
      <x:c r="O382" s="31"/>
      <x:c r="P382" s="30"/>
      <x:c r="Q382" s="30"/>
      <x:c r="R382" s="34" t="str">
        <x:f>IF(AND($B382&lt;&gt;"",$G382&lt;&gt;"Done",$G382&lt;&gt;"Canceled",OR($L382="Yes",$H382&lt;=TODAY()+1,$F382="P0 Critical",$F382="P1 High",$G382="Blocked",$G382="Waiting on Others")),COUNT($R$5:R381)+1,"")</x:f>
      </x:c>
      <x:c r="S382" s="34" t="str">
        <x:f>IF(AND($B382&lt;&gt;"",$G382&lt;&gt;"Done",$G382&lt;&gt;"Canceled",OR($M382="Yes",$G382="Blocked",$G382="Waiting on Others")),COUNT($S$5:S381)+1,"")</x:f>
      </x:c>
    </x:row>
    <x:row r="383">
      <x:c r="A383" s="30"/>
      <x:c r="B383" s="30"/>
      <x:c r="C383" s="30"/>
      <x:c r="D383" s="30"/>
      <x:c r="E383" s="30"/>
      <x:c r="F383" s="30"/>
      <x:c r="G383" s="30"/>
      <x:c r="H383" s="31"/>
      <x:c r="I383" s="32"/>
      <x:c r="J383" s="33"/>
      <x:c r="K383" s="30"/>
      <x:c r="L383" s="30"/>
      <x:c r="M383" s="30"/>
      <x:c r="N383" s="30"/>
      <x:c r="O383" s="31"/>
      <x:c r="P383" s="30"/>
      <x:c r="Q383" s="30"/>
      <x:c r="R383" s="34" t="str">
        <x:f>IF(AND($B383&lt;&gt;"",$G383&lt;&gt;"Done",$G383&lt;&gt;"Canceled",OR($L383="Yes",$H383&lt;=TODAY()+1,$F383="P0 Critical",$F383="P1 High",$G383="Blocked",$G383="Waiting on Others")),COUNT($R$5:R382)+1,"")</x:f>
      </x:c>
      <x:c r="S383" s="34" t="str">
        <x:f>IF(AND($B383&lt;&gt;"",$G383&lt;&gt;"Done",$G383&lt;&gt;"Canceled",OR($M383="Yes",$G383="Blocked",$G383="Waiting on Others")),COUNT($S$5:S382)+1,"")</x:f>
      </x:c>
    </x:row>
    <x:row r="384">
      <x:c r="A384" s="30"/>
      <x:c r="B384" s="30"/>
      <x:c r="C384" s="30"/>
      <x:c r="D384" s="30"/>
      <x:c r="E384" s="30"/>
      <x:c r="F384" s="30"/>
      <x:c r="G384" s="30"/>
      <x:c r="H384" s="31"/>
      <x:c r="I384" s="32"/>
      <x:c r="J384" s="33"/>
      <x:c r="K384" s="30"/>
      <x:c r="L384" s="30"/>
      <x:c r="M384" s="30"/>
      <x:c r="N384" s="30"/>
      <x:c r="O384" s="31"/>
      <x:c r="P384" s="30"/>
      <x:c r="Q384" s="30"/>
      <x:c r="R384" s="34" t="str">
        <x:f>IF(AND($B384&lt;&gt;"",$G384&lt;&gt;"Done",$G384&lt;&gt;"Canceled",OR($L384="Yes",$H384&lt;=TODAY()+1,$F384="P0 Critical",$F384="P1 High",$G384="Blocked",$G384="Waiting on Others")),COUNT($R$5:R383)+1,"")</x:f>
      </x:c>
      <x:c r="S384" s="34" t="str">
        <x:f>IF(AND($B384&lt;&gt;"",$G384&lt;&gt;"Done",$G384&lt;&gt;"Canceled",OR($M384="Yes",$G384="Blocked",$G384="Waiting on Others")),COUNT($S$5:S383)+1,"")</x:f>
      </x:c>
    </x:row>
    <x:row r="385">
      <x:c r="A385" s="30"/>
      <x:c r="B385" s="30"/>
      <x:c r="C385" s="30"/>
      <x:c r="D385" s="30"/>
      <x:c r="E385" s="30"/>
      <x:c r="F385" s="30"/>
      <x:c r="G385" s="30"/>
      <x:c r="H385" s="31"/>
      <x:c r="I385" s="32"/>
      <x:c r="J385" s="33"/>
      <x:c r="K385" s="30"/>
      <x:c r="L385" s="30"/>
      <x:c r="M385" s="30"/>
      <x:c r="N385" s="30"/>
      <x:c r="O385" s="31"/>
      <x:c r="P385" s="30"/>
      <x:c r="Q385" s="30"/>
      <x:c r="R385" s="34" t="str">
        <x:f>IF(AND($B385&lt;&gt;"",$G385&lt;&gt;"Done",$G385&lt;&gt;"Canceled",OR($L385="Yes",$H385&lt;=TODAY()+1,$F385="P0 Critical",$F385="P1 High",$G385="Blocked",$G385="Waiting on Others")),COUNT($R$5:R384)+1,"")</x:f>
      </x:c>
      <x:c r="S385" s="34" t="str">
        <x:f>IF(AND($B385&lt;&gt;"",$G385&lt;&gt;"Done",$G385&lt;&gt;"Canceled",OR($M385="Yes",$G385="Blocked",$G385="Waiting on Others")),COUNT($S$5:S384)+1,"")</x:f>
      </x:c>
    </x:row>
    <x:row r="386">
      <x:c r="A386" s="30"/>
      <x:c r="B386" s="30"/>
      <x:c r="C386" s="30"/>
      <x:c r="D386" s="30"/>
      <x:c r="E386" s="30"/>
      <x:c r="F386" s="30"/>
      <x:c r="G386" s="30"/>
      <x:c r="H386" s="31"/>
      <x:c r="I386" s="32"/>
      <x:c r="J386" s="33"/>
      <x:c r="K386" s="30"/>
      <x:c r="L386" s="30"/>
      <x:c r="M386" s="30"/>
      <x:c r="N386" s="30"/>
      <x:c r="O386" s="31"/>
      <x:c r="P386" s="30"/>
      <x:c r="Q386" s="30"/>
      <x:c r="R386" s="34" t="str">
        <x:f>IF(AND($B386&lt;&gt;"",$G386&lt;&gt;"Done",$G386&lt;&gt;"Canceled",OR($L386="Yes",$H386&lt;=TODAY()+1,$F386="P0 Critical",$F386="P1 High",$G386="Blocked",$G386="Waiting on Others")),COUNT($R$5:R385)+1,"")</x:f>
      </x:c>
      <x:c r="S386" s="34" t="str">
        <x:f>IF(AND($B386&lt;&gt;"",$G386&lt;&gt;"Done",$G386&lt;&gt;"Canceled",OR($M386="Yes",$G386="Blocked",$G386="Waiting on Others")),COUNT($S$5:S385)+1,"")</x:f>
      </x:c>
    </x:row>
    <x:row r="387">
      <x:c r="A387" s="30"/>
      <x:c r="B387" s="30"/>
      <x:c r="C387" s="30"/>
      <x:c r="D387" s="30"/>
      <x:c r="E387" s="30"/>
      <x:c r="F387" s="30"/>
      <x:c r="G387" s="30"/>
      <x:c r="H387" s="31"/>
      <x:c r="I387" s="32"/>
      <x:c r="J387" s="33"/>
      <x:c r="K387" s="30"/>
      <x:c r="L387" s="30"/>
      <x:c r="M387" s="30"/>
      <x:c r="N387" s="30"/>
      <x:c r="O387" s="31"/>
      <x:c r="P387" s="30"/>
      <x:c r="Q387" s="30"/>
      <x:c r="R387" s="34" t="str">
        <x:f>IF(AND($B387&lt;&gt;"",$G387&lt;&gt;"Done",$G387&lt;&gt;"Canceled",OR($L387="Yes",$H387&lt;=TODAY()+1,$F387="P0 Critical",$F387="P1 High",$G387="Blocked",$G387="Waiting on Others")),COUNT($R$5:R386)+1,"")</x:f>
      </x:c>
      <x:c r="S387" s="34" t="str">
        <x:f>IF(AND($B387&lt;&gt;"",$G387&lt;&gt;"Done",$G387&lt;&gt;"Canceled",OR($M387="Yes",$G387="Blocked",$G387="Waiting on Others")),COUNT($S$5:S386)+1,"")</x:f>
      </x:c>
    </x:row>
    <x:row r="388">
      <x:c r="A388" s="30"/>
      <x:c r="B388" s="30"/>
      <x:c r="C388" s="30"/>
      <x:c r="D388" s="30"/>
      <x:c r="E388" s="30"/>
      <x:c r="F388" s="30"/>
      <x:c r="G388" s="30"/>
      <x:c r="H388" s="31"/>
      <x:c r="I388" s="32"/>
      <x:c r="J388" s="33"/>
      <x:c r="K388" s="30"/>
      <x:c r="L388" s="30"/>
      <x:c r="M388" s="30"/>
      <x:c r="N388" s="30"/>
      <x:c r="O388" s="31"/>
      <x:c r="P388" s="30"/>
      <x:c r="Q388" s="30"/>
      <x:c r="R388" s="34" t="str">
        <x:f>IF(AND($B388&lt;&gt;"",$G388&lt;&gt;"Done",$G388&lt;&gt;"Canceled",OR($L388="Yes",$H388&lt;=TODAY()+1,$F388="P0 Critical",$F388="P1 High",$G388="Blocked",$G388="Waiting on Others")),COUNT($R$5:R387)+1,"")</x:f>
      </x:c>
      <x:c r="S388" s="34" t="str">
        <x:f>IF(AND($B388&lt;&gt;"",$G388&lt;&gt;"Done",$G388&lt;&gt;"Canceled",OR($M388="Yes",$G388="Blocked",$G388="Waiting on Others")),COUNT($S$5:S387)+1,"")</x:f>
      </x:c>
    </x:row>
    <x:row r="389">
      <x:c r="A389" s="30"/>
      <x:c r="B389" s="30"/>
      <x:c r="C389" s="30"/>
      <x:c r="D389" s="30"/>
      <x:c r="E389" s="30"/>
      <x:c r="F389" s="30"/>
      <x:c r="G389" s="30"/>
      <x:c r="H389" s="31"/>
      <x:c r="I389" s="32"/>
      <x:c r="J389" s="33"/>
      <x:c r="K389" s="30"/>
      <x:c r="L389" s="30"/>
      <x:c r="M389" s="30"/>
      <x:c r="N389" s="30"/>
      <x:c r="O389" s="31"/>
      <x:c r="P389" s="30"/>
      <x:c r="Q389" s="30"/>
      <x:c r="R389" s="34" t="str">
        <x:f>IF(AND($B389&lt;&gt;"",$G389&lt;&gt;"Done",$G389&lt;&gt;"Canceled",OR($L389="Yes",$H389&lt;=TODAY()+1,$F389="P0 Critical",$F389="P1 High",$G389="Blocked",$G389="Waiting on Others")),COUNT($R$5:R388)+1,"")</x:f>
      </x:c>
      <x:c r="S389" s="34" t="str">
        <x:f>IF(AND($B389&lt;&gt;"",$G389&lt;&gt;"Done",$G389&lt;&gt;"Canceled",OR($M389="Yes",$G389="Blocked",$G389="Waiting on Others")),COUNT($S$5:S388)+1,"")</x:f>
      </x:c>
    </x:row>
    <x:row r="390">
      <x:c r="A390" s="30"/>
      <x:c r="B390" s="30"/>
      <x:c r="C390" s="30"/>
      <x:c r="D390" s="30"/>
      <x:c r="E390" s="30"/>
      <x:c r="F390" s="30"/>
      <x:c r="G390" s="30"/>
      <x:c r="H390" s="31"/>
      <x:c r="I390" s="32"/>
      <x:c r="J390" s="33"/>
      <x:c r="K390" s="30"/>
      <x:c r="L390" s="30"/>
      <x:c r="M390" s="30"/>
      <x:c r="N390" s="30"/>
      <x:c r="O390" s="31"/>
      <x:c r="P390" s="30"/>
      <x:c r="Q390" s="30"/>
      <x:c r="R390" s="34" t="str">
        <x:f>IF(AND($B390&lt;&gt;"",$G390&lt;&gt;"Done",$G390&lt;&gt;"Canceled",OR($L390="Yes",$H390&lt;=TODAY()+1,$F390="P0 Critical",$F390="P1 High",$G390="Blocked",$G390="Waiting on Others")),COUNT($R$5:R389)+1,"")</x:f>
      </x:c>
      <x:c r="S390" s="34" t="str">
        <x:f>IF(AND($B390&lt;&gt;"",$G390&lt;&gt;"Done",$G390&lt;&gt;"Canceled",OR($M390="Yes",$G390="Blocked",$G390="Waiting on Others")),COUNT($S$5:S389)+1,"")</x:f>
      </x:c>
    </x:row>
    <x:row r="391">
      <x:c r="A391" s="30"/>
      <x:c r="B391" s="30"/>
      <x:c r="C391" s="30"/>
      <x:c r="D391" s="30"/>
      <x:c r="E391" s="30"/>
      <x:c r="F391" s="30"/>
      <x:c r="G391" s="30"/>
      <x:c r="H391" s="31"/>
      <x:c r="I391" s="32"/>
      <x:c r="J391" s="33"/>
      <x:c r="K391" s="30"/>
      <x:c r="L391" s="30"/>
      <x:c r="M391" s="30"/>
      <x:c r="N391" s="30"/>
      <x:c r="O391" s="31"/>
      <x:c r="P391" s="30"/>
      <x:c r="Q391" s="30"/>
      <x:c r="R391" s="34" t="str">
        <x:f>IF(AND($B391&lt;&gt;"",$G391&lt;&gt;"Done",$G391&lt;&gt;"Canceled",OR($L391="Yes",$H391&lt;=TODAY()+1,$F391="P0 Critical",$F391="P1 High",$G391="Blocked",$G391="Waiting on Others")),COUNT($R$5:R390)+1,"")</x:f>
      </x:c>
      <x:c r="S391" s="34" t="str">
        <x:f>IF(AND($B391&lt;&gt;"",$G391&lt;&gt;"Done",$G391&lt;&gt;"Canceled",OR($M391="Yes",$G391="Blocked",$G391="Waiting on Others")),COUNT($S$5:S390)+1,"")</x:f>
      </x:c>
    </x:row>
    <x:row r="392">
      <x:c r="A392" s="30"/>
      <x:c r="B392" s="30"/>
      <x:c r="C392" s="30"/>
      <x:c r="D392" s="30"/>
      <x:c r="E392" s="30"/>
      <x:c r="F392" s="30"/>
      <x:c r="G392" s="30"/>
      <x:c r="H392" s="31"/>
      <x:c r="I392" s="32"/>
      <x:c r="J392" s="33"/>
      <x:c r="K392" s="30"/>
      <x:c r="L392" s="30"/>
      <x:c r="M392" s="30"/>
      <x:c r="N392" s="30"/>
      <x:c r="O392" s="31"/>
      <x:c r="P392" s="30"/>
      <x:c r="Q392" s="30"/>
      <x:c r="R392" s="34" t="str">
        <x:f>IF(AND($B392&lt;&gt;"",$G392&lt;&gt;"Done",$G392&lt;&gt;"Canceled",OR($L392="Yes",$H392&lt;=TODAY()+1,$F392="P0 Critical",$F392="P1 High",$G392="Blocked",$G392="Waiting on Others")),COUNT($R$5:R391)+1,"")</x:f>
      </x:c>
      <x:c r="S392" s="34" t="str">
        <x:f>IF(AND($B392&lt;&gt;"",$G392&lt;&gt;"Done",$G392&lt;&gt;"Canceled",OR($M392="Yes",$G392="Blocked",$G392="Waiting on Others")),COUNT($S$5:S391)+1,"")</x:f>
      </x:c>
    </x:row>
    <x:row r="393">
      <x:c r="A393" s="30"/>
      <x:c r="B393" s="30"/>
      <x:c r="C393" s="30"/>
      <x:c r="D393" s="30"/>
      <x:c r="E393" s="30"/>
      <x:c r="F393" s="30"/>
      <x:c r="G393" s="30"/>
      <x:c r="H393" s="31"/>
      <x:c r="I393" s="32"/>
      <x:c r="J393" s="33"/>
      <x:c r="K393" s="30"/>
      <x:c r="L393" s="30"/>
      <x:c r="M393" s="30"/>
      <x:c r="N393" s="30"/>
      <x:c r="O393" s="31"/>
      <x:c r="P393" s="30"/>
      <x:c r="Q393" s="30"/>
      <x:c r="R393" s="34" t="str">
        <x:f>IF(AND($B393&lt;&gt;"",$G393&lt;&gt;"Done",$G393&lt;&gt;"Canceled",OR($L393="Yes",$H393&lt;=TODAY()+1,$F393="P0 Critical",$F393="P1 High",$G393="Blocked",$G393="Waiting on Others")),COUNT($R$5:R392)+1,"")</x:f>
      </x:c>
      <x:c r="S393" s="34" t="str">
        <x:f>IF(AND($B393&lt;&gt;"",$G393&lt;&gt;"Done",$G393&lt;&gt;"Canceled",OR($M393="Yes",$G393="Blocked",$G393="Waiting on Others")),COUNT($S$5:S392)+1,"")</x:f>
      </x:c>
    </x:row>
    <x:row r="394">
      <x:c r="A394" s="30"/>
      <x:c r="B394" s="30"/>
      <x:c r="C394" s="30"/>
      <x:c r="D394" s="30"/>
      <x:c r="E394" s="30"/>
      <x:c r="F394" s="30"/>
      <x:c r="G394" s="30"/>
      <x:c r="H394" s="31"/>
      <x:c r="I394" s="32"/>
      <x:c r="J394" s="33"/>
      <x:c r="K394" s="30"/>
      <x:c r="L394" s="30"/>
      <x:c r="M394" s="30"/>
      <x:c r="N394" s="30"/>
      <x:c r="O394" s="31"/>
      <x:c r="P394" s="30"/>
      <x:c r="Q394" s="30"/>
      <x:c r="R394" s="34" t="str">
        <x:f>IF(AND($B394&lt;&gt;"",$G394&lt;&gt;"Done",$G394&lt;&gt;"Canceled",OR($L394="Yes",$H394&lt;=TODAY()+1,$F394="P0 Critical",$F394="P1 High",$G394="Blocked",$G394="Waiting on Others")),COUNT($R$5:R393)+1,"")</x:f>
      </x:c>
      <x:c r="S394" s="34" t="str">
        <x:f>IF(AND($B394&lt;&gt;"",$G394&lt;&gt;"Done",$G394&lt;&gt;"Canceled",OR($M394="Yes",$G394="Blocked",$G394="Waiting on Others")),COUNT($S$5:S393)+1,"")</x:f>
      </x:c>
    </x:row>
    <x:row r="395">
      <x:c r="A395" s="30"/>
      <x:c r="B395" s="30"/>
      <x:c r="C395" s="30"/>
      <x:c r="D395" s="30"/>
      <x:c r="E395" s="30"/>
      <x:c r="F395" s="30"/>
      <x:c r="G395" s="30"/>
      <x:c r="H395" s="31"/>
      <x:c r="I395" s="32"/>
      <x:c r="J395" s="33"/>
      <x:c r="K395" s="30"/>
      <x:c r="L395" s="30"/>
      <x:c r="M395" s="30"/>
      <x:c r="N395" s="30"/>
      <x:c r="O395" s="31"/>
      <x:c r="P395" s="30"/>
      <x:c r="Q395" s="30"/>
      <x:c r="R395" s="34" t="str">
        <x:f>IF(AND($B395&lt;&gt;"",$G395&lt;&gt;"Done",$G395&lt;&gt;"Canceled",OR($L395="Yes",$H395&lt;=TODAY()+1,$F395="P0 Critical",$F395="P1 High",$G395="Blocked",$G395="Waiting on Others")),COUNT($R$5:R394)+1,"")</x:f>
      </x:c>
      <x:c r="S395" s="34" t="str">
        <x:f>IF(AND($B395&lt;&gt;"",$G395&lt;&gt;"Done",$G395&lt;&gt;"Canceled",OR($M395="Yes",$G395="Blocked",$G395="Waiting on Others")),COUNT($S$5:S394)+1,"")</x:f>
      </x:c>
    </x:row>
    <x:row r="396">
      <x:c r="A396" s="30"/>
      <x:c r="B396" s="30"/>
      <x:c r="C396" s="30"/>
      <x:c r="D396" s="30"/>
      <x:c r="E396" s="30"/>
      <x:c r="F396" s="30"/>
      <x:c r="G396" s="30"/>
      <x:c r="H396" s="31"/>
      <x:c r="I396" s="32"/>
      <x:c r="J396" s="33"/>
      <x:c r="K396" s="30"/>
      <x:c r="L396" s="30"/>
      <x:c r="M396" s="30"/>
      <x:c r="N396" s="30"/>
      <x:c r="O396" s="31"/>
      <x:c r="P396" s="30"/>
      <x:c r="Q396" s="30"/>
      <x:c r="R396" s="34" t="str">
        <x:f>IF(AND($B396&lt;&gt;"",$G396&lt;&gt;"Done",$G396&lt;&gt;"Canceled",OR($L396="Yes",$H396&lt;=TODAY()+1,$F396="P0 Critical",$F396="P1 High",$G396="Blocked",$G396="Waiting on Others")),COUNT($R$5:R395)+1,"")</x:f>
      </x:c>
      <x:c r="S396" s="34" t="str">
        <x:f>IF(AND($B396&lt;&gt;"",$G396&lt;&gt;"Done",$G396&lt;&gt;"Canceled",OR($M396="Yes",$G396="Blocked",$G396="Waiting on Others")),COUNT($S$5:S395)+1,"")</x:f>
      </x:c>
    </x:row>
    <x:row r="397">
      <x:c r="A397" s="30"/>
      <x:c r="B397" s="30"/>
      <x:c r="C397" s="30"/>
      <x:c r="D397" s="30"/>
      <x:c r="E397" s="30"/>
      <x:c r="F397" s="30"/>
      <x:c r="G397" s="30"/>
      <x:c r="H397" s="31"/>
      <x:c r="I397" s="32"/>
      <x:c r="J397" s="33"/>
      <x:c r="K397" s="30"/>
      <x:c r="L397" s="30"/>
      <x:c r="M397" s="30"/>
      <x:c r="N397" s="30"/>
      <x:c r="O397" s="31"/>
      <x:c r="P397" s="30"/>
      <x:c r="Q397" s="30"/>
      <x:c r="R397" s="34" t="str">
        <x:f>IF(AND($B397&lt;&gt;"",$G397&lt;&gt;"Done",$G397&lt;&gt;"Canceled",OR($L397="Yes",$H397&lt;=TODAY()+1,$F397="P0 Critical",$F397="P1 High",$G397="Blocked",$G397="Waiting on Others")),COUNT($R$5:R396)+1,"")</x:f>
      </x:c>
      <x:c r="S397" s="34" t="str">
        <x:f>IF(AND($B397&lt;&gt;"",$G397&lt;&gt;"Done",$G397&lt;&gt;"Canceled",OR($M397="Yes",$G397="Blocked",$G397="Waiting on Others")),COUNT($S$5:S396)+1,"")</x:f>
      </x:c>
    </x:row>
    <x:row r="398">
      <x:c r="A398" s="30"/>
      <x:c r="B398" s="30"/>
      <x:c r="C398" s="30"/>
      <x:c r="D398" s="30"/>
      <x:c r="E398" s="30"/>
      <x:c r="F398" s="30"/>
      <x:c r="G398" s="30"/>
      <x:c r="H398" s="31"/>
      <x:c r="I398" s="32"/>
      <x:c r="J398" s="33"/>
      <x:c r="K398" s="30"/>
      <x:c r="L398" s="30"/>
      <x:c r="M398" s="30"/>
      <x:c r="N398" s="30"/>
      <x:c r="O398" s="31"/>
      <x:c r="P398" s="30"/>
      <x:c r="Q398" s="30"/>
      <x:c r="R398" s="34" t="str">
        <x:f>IF(AND($B398&lt;&gt;"",$G398&lt;&gt;"Done",$G398&lt;&gt;"Canceled",OR($L398="Yes",$H398&lt;=TODAY()+1,$F398="P0 Critical",$F398="P1 High",$G398="Blocked",$G398="Waiting on Others")),COUNT($R$5:R397)+1,"")</x:f>
      </x:c>
      <x:c r="S398" s="34" t="str">
        <x:f>IF(AND($B398&lt;&gt;"",$G398&lt;&gt;"Done",$G398&lt;&gt;"Canceled",OR($M398="Yes",$G398="Blocked",$G398="Waiting on Others")),COUNT($S$5:S397)+1,"")</x:f>
      </x:c>
    </x:row>
    <x:row r="399">
      <x:c r="A399" s="30"/>
      <x:c r="B399" s="30"/>
      <x:c r="C399" s="30"/>
      <x:c r="D399" s="30"/>
      <x:c r="E399" s="30"/>
      <x:c r="F399" s="30"/>
      <x:c r="G399" s="30"/>
      <x:c r="H399" s="31"/>
      <x:c r="I399" s="32"/>
      <x:c r="J399" s="33"/>
      <x:c r="K399" s="30"/>
      <x:c r="L399" s="30"/>
      <x:c r="M399" s="30"/>
      <x:c r="N399" s="30"/>
      <x:c r="O399" s="31"/>
      <x:c r="P399" s="30"/>
      <x:c r="Q399" s="30"/>
      <x:c r="R399" s="34" t="str">
        <x:f>IF(AND($B399&lt;&gt;"",$G399&lt;&gt;"Done",$G399&lt;&gt;"Canceled",OR($L399="Yes",$H399&lt;=TODAY()+1,$F399="P0 Critical",$F399="P1 High",$G399="Blocked",$G399="Waiting on Others")),COUNT($R$5:R398)+1,"")</x:f>
      </x:c>
      <x:c r="S399" s="34" t="str">
        <x:f>IF(AND($B399&lt;&gt;"",$G399&lt;&gt;"Done",$G399&lt;&gt;"Canceled",OR($M399="Yes",$G399="Blocked",$G399="Waiting on Others")),COUNT($S$5:S398)+1,"")</x:f>
      </x:c>
    </x:row>
    <x:row r="400">
      <x:c r="A400" s="30"/>
      <x:c r="B400" s="30"/>
      <x:c r="C400" s="30"/>
      <x:c r="D400" s="30"/>
      <x:c r="E400" s="30"/>
      <x:c r="F400" s="30"/>
      <x:c r="G400" s="30"/>
      <x:c r="H400" s="31"/>
      <x:c r="I400" s="32"/>
      <x:c r="J400" s="33"/>
      <x:c r="K400" s="30"/>
      <x:c r="L400" s="30"/>
      <x:c r="M400" s="30"/>
      <x:c r="N400" s="30"/>
      <x:c r="O400" s="31"/>
      <x:c r="P400" s="30"/>
      <x:c r="Q400" s="30"/>
      <x:c r="R400" s="34" t="str">
        <x:f>IF(AND($B400&lt;&gt;"",$G400&lt;&gt;"Done",$G400&lt;&gt;"Canceled",OR($L400="Yes",$H400&lt;=TODAY()+1,$F400="P0 Critical",$F400="P1 High",$G400="Blocked",$G400="Waiting on Others")),COUNT($R$5:R399)+1,"")</x:f>
      </x:c>
      <x:c r="S400" s="34" t="str">
        <x:f>IF(AND($B400&lt;&gt;"",$G400&lt;&gt;"Done",$G400&lt;&gt;"Canceled",OR($M400="Yes",$G400="Blocked",$G400="Waiting on Others")),COUNT($S$5:S399)+1,"")</x:f>
      </x:c>
    </x:row>
    <x:row r="401">
      <x:c r="A401" s="30"/>
      <x:c r="B401" s="30"/>
      <x:c r="C401" s="30"/>
      <x:c r="D401" s="30"/>
      <x:c r="E401" s="30"/>
      <x:c r="F401" s="30"/>
      <x:c r="G401" s="30"/>
      <x:c r="H401" s="31"/>
      <x:c r="I401" s="32"/>
      <x:c r="J401" s="33"/>
      <x:c r="K401" s="30"/>
      <x:c r="L401" s="30"/>
      <x:c r="M401" s="30"/>
      <x:c r="N401" s="30"/>
      <x:c r="O401" s="31"/>
      <x:c r="P401" s="30"/>
      <x:c r="Q401" s="30"/>
      <x:c r="R401" s="34" t="str">
        <x:f>IF(AND($B401&lt;&gt;"",$G401&lt;&gt;"Done",$G401&lt;&gt;"Canceled",OR($L401="Yes",$H401&lt;=TODAY()+1,$F401="P0 Critical",$F401="P1 High",$G401="Blocked",$G401="Waiting on Others")),COUNT($R$5:R400)+1,"")</x:f>
      </x:c>
      <x:c r="S401" s="34" t="str">
        <x:f>IF(AND($B401&lt;&gt;"",$G401&lt;&gt;"Done",$G401&lt;&gt;"Canceled",OR($M401="Yes",$G401="Blocked",$G401="Waiting on Others")),COUNT($S$5:S400)+1,"")</x:f>
      </x:c>
    </x:row>
    <x:row r="402">
      <x:c r="A402" s="30"/>
      <x:c r="B402" s="30"/>
      <x:c r="C402" s="30"/>
      <x:c r="D402" s="30"/>
      <x:c r="E402" s="30"/>
      <x:c r="F402" s="30"/>
      <x:c r="G402" s="30"/>
      <x:c r="H402" s="31"/>
      <x:c r="I402" s="32"/>
      <x:c r="J402" s="33"/>
      <x:c r="K402" s="30"/>
      <x:c r="L402" s="30"/>
      <x:c r="M402" s="30"/>
      <x:c r="N402" s="30"/>
      <x:c r="O402" s="31"/>
      <x:c r="P402" s="30"/>
      <x:c r="Q402" s="30"/>
      <x:c r="R402" s="34" t="str">
        <x:f>IF(AND($B402&lt;&gt;"",$G402&lt;&gt;"Done",$G402&lt;&gt;"Canceled",OR($L402="Yes",$H402&lt;=TODAY()+1,$F402="P0 Critical",$F402="P1 High",$G402="Blocked",$G402="Waiting on Others")),COUNT($R$5:R401)+1,"")</x:f>
      </x:c>
      <x:c r="S402" s="34" t="str">
        <x:f>IF(AND($B402&lt;&gt;"",$G402&lt;&gt;"Done",$G402&lt;&gt;"Canceled",OR($M402="Yes",$G402="Blocked",$G402="Waiting on Others")),COUNT($S$5:S401)+1,"")</x:f>
      </x:c>
    </x:row>
    <x:row r="403">
      <x:c r="A403" s="30"/>
      <x:c r="B403" s="30"/>
      <x:c r="C403" s="30"/>
      <x:c r="D403" s="30"/>
      <x:c r="E403" s="30"/>
      <x:c r="F403" s="30"/>
      <x:c r="G403" s="30"/>
      <x:c r="H403" s="31"/>
      <x:c r="I403" s="32"/>
      <x:c r="J403" s="33"/>
      <x:c r="K403" s="30"/>
      <x:c r="L403" s="30"/>
      <x:c r="M403" s="30"/>
      <x:c r="N403" s="30"/>
      <x:c r="O403" s="31"/>
      <x:c r="P403" s="30"/>
      <x:c r="Q403" s="30"/>
      <x:c r="R403" s="34" t="str">
        <x:f>IF(AND($B403&lt;&gt;"",$G403&lt;&gt;"Done",$G403&lt;&gt;"Canceled",OR($L403="Yes",$H403&lt;=TODAY()+1,$F403="P0 Critical",$F403="P1 High",$G403="Blocked",$G403="Waiting on Others")),COUNT($R$5:R402)+1,"")</x:f>
      </x:c>
      <x:c r="S403" s="34" t="str">
        <x:f>IF(AND($B403&lt;&gt;"",$G403&lt;&gt;"Done",$G403&lt;&gt;"Canceled",OR($M403="Yes",$G403="Blocked",$G403="Waiting on Others")),COUNT($S$5:S402)+1,"")</x:f>
      </x:c>
    </x:row>
    <x:row r="404">
      <x:c r="A404" s="30"/>
      <x:c r="B404" s="30"/>
      <x:c r="C404" s="30"/>
      <x:c r="D404" s="30"/>
      <x:c r="E404" s="30"/>
      <x:c r="F404" s="30"/>
      <x:c r="G404" s="30"/>
      <x:c r="H404" s="31"/>
      <x:c r="I404" s="32"/>
      <x:c r="J404" s="33"/>
      <x:c r="K404" s="30"/>
      <x:c r="L404" s="30"/>
      <x:c r="M404" s="30"/>
      <x:c r="N404" s="30"/>
      <x:c r="O404" s="31"/>
      <x:c r="P404" s="30"/>
      <x:c r="Q404" s="30"/>
      <x:c r="R404" s="34" t="str">
        <x:f>IF(AND($B404&lt;&gt;"",$G404&lt;&gt;"Done",$G404&lt;&gt;"Canceled",OR($L404="Yes",$H404&lt;=TODAY()+1,$F404="P0 Critical",$F404="P1 High",$G404="Blocked",$G404="Waiting on Others")),COUNT($R$5:R403)+1,"")</x:f>
      </x:c>
      <x:c r="S404" s="34" t="str">
        <x:f>IF(AND($B404&lt;&gt;"",$G404&lt;&gt;"Done",$G404&lt;&gt;"Canceled",OR($M404="Yes",$G404="Blocked",$G404="Waiting on Others")),COUNT($S$5:S403)+1,"")</x:f>
      </x:c>
    </x:row>
    <x:row r="405">
      <x:c r="A405" s="30"/>
      <x:c r="B405" s="30"/>
      <x:c r="C405" s="30"/>
      <x:c r="D405" s="30"/>
      <x:c r="E405" s="30"/>
      <x:c r="F405" s="30"/>
      <x:c r="G405" s="30"/>
      <x:c r="H405" s="31"/>
      <x:c r="I405" s="32"/>
      <x:c r="J405" s="33"/>
      <x:c r="K405" s="30"/>
      <x:c r="L405" s="30"/>
      <x:c r="M405" s="30"/>
      <x:c r="N405" s="30"/>
      <x:c r="O405" s="31"/>
      <x:c r="P405" s="30"/>
      <x:c r="Q405" s="30"/>
      <x:c r="R405" s="34" t="str">
        <x:f>IF(AND($B405&lt;&gt;"",$G405&lt;&gt;"Done",$G405&lt;&gt;"Canceled",OR($L405="Yes",$H405&lt;=TODAY()+1,$F405="P0 Critical",$F405="P1 High",$G405="Blocked",$G405="Waiting on Others")),COUNT($R$5:R404)+1,"")</x:f>
      </x:c>
      <x:c r="S405" s="34" t="str">
        <x:f>IF(AND($B405&lt;&gt;"",$G405&lt;&gt;"Done",$G405&lt;&gt;"Canceled",OR($M405="Yes",$G405="Blocked",$G405="Waiting on Others")),COUNT($S$5:S404)+1,"")</x:f>
      </x:c>
    </x:row>
    <x:row r="406">
      <x:c r="A406" s="30"/>
      <x:c r="B406" s="30"/>
      <x:c r="C406" s="30"/>
      <x:c r="D406" s="30"/>
      <x:c r="E406" s="30"/>
      <x:c r="F406" s="30"/>
      <x:c r="G406" s="30"/>
      <x:c r="H406" s="31"/>
      <x:c r="I406" s="32"/>
      <x:c r="J406" s="33"/>
      <x:c r="K406" s="30"/>
      <x:c r="L406" s="30"/>
      <x:c r="M406" s="30"/>
      <x:c r="N406" s="30"/>
      <x:c r="O406" s="31"/>
      <x:c r="P406" s="30"/>
      <x:c r="Q406" s="30"/>
      <x:c r="R406" s="34" t="str">
        <x:f>IF(AND($B406&lt;&gt;"",$G406&lt;&gt;"Done",$G406&lt;&gt;"Canceled",OR($L406="Yes",$H406&lt;=TODAY()+1,$F406="P0 Critical",$F406="P1 High",$G406="Blocked",$G406="Waiting on Others")),COUNT($R$5:R405)+1,"")</x:f>
      </x:c>
      <x:c r="S406" s="34" t="str">
        <x:f>IF(AND($B406&lt;&gt;"",$G406&lt;&gt;"Done",$G406&lt;&gt;"Canceled",OR($M406="Yes",$G406="Blocked",$G406="Waiting on Others")),COUNT($S$5:S405)+1,"")</x:f>
      </x:c>
    </x:row>
    <x:row r="407">
      <x:c r="A407" s="30"/>
      <x:c r="B407" s="30"/>
      <x:c r="C407" s="30"/>
      <x:c r="D407" s="30"/>
      <x:c r="E407" s="30"/>
      <x:c r="F407" s="30"/>
      <x:c r="G407" s="30"/>
      <x:c r="H407" s="31"/>
      <x:c r="I407" s="32"/>
      <x:c r="J407" s="33"/>
      <x:c r="K407" s="30"/>
      <x:c r="L407" s="30"/>
      <x:c r="M407" s="30"/>
      <x:c r="N407" s="30"/>
      <x:c r="O407" s="31"/>
      <x:c r="P407" s="30"/>
      <x:c r="Q407" s="30"/>
      <x:c r="R407" s="34" t="str">
        <x:f>IF(AND($B407&lt;&gt;"",$G407&lt;&gt;"Done",$G407&lt;&gt;"Canceled",OR($L407="Yes",$H407&lt;=TODAY()+1,$F407="P0 Critical",$F407="P1 High",$G407="Blocked",$G407="Waiting on Others")),COUNT($R$5:R406)+1,"")</x:f>
      </x:c>
      <x:c r="S407" s="34" t="str">
        <x:f>IF(AND($B407&lt;&gt;"",$G407&lt;&gt;"Done",$G407&lt;&gt;"Canceled",OR($M407="Yes",$G407="Blocked",$G407="Waiting on Others")),COUNT($S$5:S406)+1,"")</x:f>
      </x:c>
    </x:row>
    <x:row r="408">
      <x:c r="A408" s="30"/>
      <x:c r="B408" s="30"/>
      <x:c r="C408" s="30"/>
      <x:c r="D408" s="30"/>
      <x:c r="E408" s="30"/>
      <x:c r="F408" s="30"/>
      <x:c r="G408" s="30"/>
      <x:c r="H408" s="31"/>
      <x:c r="I408" s="32"/>
      <x:c r="J408" s="33"/>
      <x:c r="K408" s="30"/>
      <x:c r="L408" s="30"/>
      <x:c r="M408" s="30"/>
      <x:c r="N408" s="30"/>
      <x:c r="O408" s="31"/>
      <x:c r="P408" s="30"/>
      <x:c r="Q408" s="30"/>
      <x:c r="R408" s="34" t="str">
        <x:f>IF(AND($B408&lt;&gt;"",$G408&lt;&gt;"Done",$G408&lt;&gt;"Canceled",OR($L408="Yes",$H408&lt;=TODAY()+1,$F408="P0 Critical",$F408="P1 High",$G408="Blocked",$G408="Waiting on Others")),COUNT($R$5:R407)+1,"")</x:f>
      </x:c>
      <x:c r="S408" s="34" t="str">
        <x:f>IF(AND($B408&lt;&gt;"",$G408&lt;&gt;"Done",$G408&lt;&gt;"Canceled",OR($M408="Yes",$G408="Blocked",$G408="Waiting on Others")),COUNT($S$5:S407)+1,"")</x:f>
      </x:c>
    </x:row>
    <x:row r="409">
      <x:c r="A409" s="30"/>
      <x:c r="B409" s="30"/>
      <x:c r="C409" s="30"/>
      <x:c r="D409" s="30"/>
      <x:c r="E409" s="30"/>
      <x:c r="F409" s="30"/>
      <x:c r="G409" s="30"/>
      <x:c r="H409" s="31"/>
      <x:c r="I409" s="32"/>
      <x:c r="J409" s="33"/>
      <x:c r="K409" s="30"/>
      <x:c r="L409" s="30"/>
      <x:c r="M409" s="30"/>
      <x:c r="N409" s="30"/>
      <x:c r="O409" s="31"/>
      <x:c r="P409" s="30"/>
      <x:c r="Q409" s="30"/>
      <x:c r="R409" s="34" t="str">
        <x:f>IF(AND($B409&lt;&gt;"",$G409&lt;&gt;"Done",$G409&lt;&gt;"Canceled",OR($L409="Yes",$H409&lt;=TODAY()+1,$F409="P0 Critical",$F409="P1 High",$G409="Blocked",$G409="Waiting on Others")),COUNT($R$5:R408)+1,"")</x:f>
      </x:c>
      <x:c r="S409" s="34" t="str">
        <x:f>IF(AND($B409&lt;&gt;"",$G409&lt;&gt;"Done",$G409&lt;&gt;"Canceled",OR($M409="Yes",$G409="Blocked",$G409="Waiting on Others")),COUNT($S$5:S408)+1,"")</x:f>
      </x:c>
    </x:row>
    <x:row r="410">
      <x:c r="A410" s="30"/>
      <x:c r="B410" s="30"/>
      <x:c r="C410" s="30"/>
      <x:c r="D410" s="30"/>
      <x:c r="E410" s="30"/>
      <x:c r="F410" s="30"/>
      <x:c r="G410" s="30"/>
      <x:c r="H410" s="31"/>
      <x:c r="I410" s="32"/>
      <x:c r="J410" s="33"/>
      <x:c r="K410" s="30"/>
      <x:c r="L410" s="30"/>
      <x:c r="M410" s="30"/>
      <x:c r="N410" s="30"/>
      <x:c r="O410" s="31"/>
      <x:c r="P410" s="30"/>
      <x:c r="Q410" s="30"/>
      <x:c r="R410" s="34" t="str">
        <x:f>IF(AND($B410&lt;&gt;"",$G410&lt;&gt;"Done",$G410&lt;&gt;"Canceled",OR($L410="Yes",$H410&lt;=TODAY()+1,$F410="P0 Critical",$F410="P1 High",$G410="Blocked",$G410="Waiting on Others")),COUNT($R$5:R409)+1,"")</x:f>
      </x:c>
      <x:c r="S410" s="34" t="str">
        <x:f>IF(AND($B410&lt;&gt;"",$G410&lt;&gt;"Done",$G410&lt;&gt;"Canceled",OR($M410="Yes",$G410="Blocked",$G410="Waiting on Others")),COUNT($S$5:S409)+1,"")</x:f>
      </x:c>
    </x:row>
    <x:row r="411">
      <x:c r="A411" s="30"/>
      <x:c r="B411" s="30"/>
      <x:c r="C411" s="30"/>
      <x:c r="D411" s="30"/>
      <x:c r="E411" s="30"/>
      <x:c r="F411" s="30"/>
      <x:c r="G411" s="30"/>
      <x:c r="H411" s="31"/>
      <x:c r="I411" s="32"/>
      <x:c r="J411" s="33"/>
      <x:c r="K411" s="30"/>
      <x:c r="L411" s="30"/>
      <x:c r="M411" s="30"/>
      <x:c r="N411" s="30"/>
      <x:c r="O411" s="31"/>
      <x:c r="P411" s="30"/>
      <x:c r="Q411" s="30"/>
      <x:c r="R411" s="34" t="str">
        <x:f>IF(AND($B411&lt;&gt;"",$G411&lt;&gt;"Done",$G411&lt;&gt;"Canceled",OR($L411="Yes",$H411&lt;=TODAY()+1,$F411="P0 Critical",$F411="P1 High",$G411="Blocked",$G411="Waiting on Others")),COUNT($R$5:R410)+1,"")</x:f>
      </x:c>
      <x:c r="S411" s="34" t="str">
        <x:f>IF(AND($B411&lt;&gt;"",$G411&lt;&gt;"Done",$G411&lt;&gt;"Canceled",OR($M411="Yes",$G411="Blocked",$G411="Waiting on Others")),COUNT($S$5:S410)+1,"")</x:f>
      </x:c>
    </x:row>
    <x:row r="412">
      <x:c r="A412" s="30"/>
      <x:c r="B412" s="30"/>
      <x:c r="C412" s="30"/>
      <x:c r="D412" s="30"/>
      <x:c r="E412" s="30"/>
      <x:c r="F412" s="30"/>
      <x:c r="G412" s="30"/>
      <x:c r="H412" s="31"/>
      <x:c r="I412" s="32"/>
      <x:c r="J412" s="33"/>
      <x:c r="K412" s="30"/>
      <x:c r="L412" s="30"/>
      <x:c r="M412" s="30"/>
      <x:c r="N412" s="30"/>
      <x:c r="O412" s="31"/>
      <x:c r="P412" s="30"/>
      <x:c r="Q412" s="30"/>
      <x:c r="R412" s="34" t="str">
        <x:f>IF(AND($B412&lt;&gt;"",$G412&lt;&gt;"Done",$G412&lt;&gt;"Canceled",OR($L412="Yes",$H412&lt;=TODAY()+1,$F412="P0 Critical",$F412="P1 High",$G412="Blocked",$G412="Waiting on Others")),COUNT($R$5:R411)+1,"")</x:f>
      </x:c>
      <x:c r="S412" s="34" t="str">
        <x:f>IF(AND($B412&lt;&gt;"",$G412&lt;&gt;"Done",$G412&lt;&gt;"Canceled",OR($M412="Yes",$G412="Blocked",$G412="Waiting on Others")),COUNT($S$5:S411)+1,"")</x:f>
      </x:c>
    </x:row>
    <x:row r="413">
      <x:c r="A413" s="30"/>
      <x:c r="B413" s="30"/>
      <x:c r="C413" s="30"/>
      <x:c r="D413" s="30"/>
      <x:c r="E413" s="30"/>
      <x:c r="F413" s="30"/>
      <x:c r="G413" s="30"/>
      <x:c r="H413" s="31"/>
      <x:c r="I413" s="32"/>
      <x:c r="J413" s="33"/>
      <x:c r="K413" s="30"/>
      <x:c r="L413" s="30"/>
      <x:c r="M413" s="30"/>
      <x:c r="N413" s="30"/>
      <x:c r="O413" s="31"/>
      <x:c r="P413" s="30"/>
      <x:c r="Q413" s="30"/>
      <x:c r="R413" s="34" t="str">
        <x:f>IF(AND($B413&lt;&gt;"",$G413&lt;&gt;"Done",$G413&lt;&gt;"Canceled",OR($L413="Yes",$H413&lt;=TODAY()+1,$F413="P0 Critical",$F413="P1 High",$G413="Blocked",$G413="Waiting on Others")),COUNT($R$5:R412)+1,"")</x:f>
      </x:c>
      <x:c r="S413" s="34" t="str">
        <x:f>IF(AND($B413&lt;&gt;"",$G413&lt;&gt;"Done",$G413&lt;&gt;"Canceled",OR($M413="Yes",$G413="Blocked",$G413="Waiting on Others")),COUNT($S$5:S412)+1,"")</x:f>
      </x:c>
    </x:row>
    <x:row r="414">
      <x:c r="A414" s="30"/>
      <x:c r="B414" s="30"/>
      <x:c r="C414" s="30"/>
      <x:c r="D414" s="30"/>
      <x:c r="E414" s="30"/>
      <x:c r="F414" s="30"/>
      <x:c r="G414" s="30"/>
      <x:c r="H414" s="31"/>
      <x:c r="I414" s="32"/>
      <x:c r="J414" s="33"/>
      <x:c r="K414" s="30"/>
      <x:c r="L414" s="30"/>
      <x:c r="M414" s="30"/>
      <x:c r="N414" s="30"/>
      <x:c r="O414" s="31"/>
      <x:c r="P414" s="30"/>
      <x:c r="Q414" s="30"/>
      <x:c r="R414" s="34" t="str">
        <x:f>IF(AND($B414&lt;&gt;"",$G414&lt;&gt;"Done",$G414&lt;&gt;"Canceled",OR($L414="Yes",$H414&lt;=TODAY()+1,$F414="P0 Critical",$F414="P1 High",$G414="Blocked",$G414="Waiting on Others")),COUNT($R$5:R413)+1,"")</x:f>
      </x:c>
      <x:c r="S414" s="34" t="str">
        <x:f>IF(AND($B414&lt;&gt;"",$G414&lt;&gt;"Done",$G414&lt;&gt;"Canceled",OR($M414="Yes",$G414="Blocked",$G414="Waiting on Others")),COUNT($S$5:S413)+1,"")</x:f>
      </x:c>
    </x:row>
    <x:row r="415">
      <x:c r="A415" s="30"/>
      <x:c r="B415" s="30"/>
      <x:c r="C415" s="30"/>
      <x:c r="D415" s="30"/>
      <x:c r="E415" s="30"/>
      <x:c r="F415" s="30"/>
      <x:c r="G415" s="30"/>
      <x:c r="H415" s="31"/>
      <x:c r="I415" s="32"/>
      <x:c r="J415" s="33"/>
      <x:c r="K415" s="30"/>
      <x:c r="L415" s="30"/>
      <x:c r="M415" s="30"/>
      <x:c r="N415" s="30"/>
      <x:c r="O415" s="31"/>
      <x:c r="P415" s="30"/>
      <x:c r="Q415" s="30"/>
      <x:c r="R415" s="34" t="str">
        <x:f>IF(AND($B415&lt;&gt;"",$G415&lt;&gt;"Done",$G415&lt;&gt;"Canceled",OR($L415="Yes",$H415&lt;=TODAY()+1,$F415="P0 Critical",$F415="P1 High",$G415="Blocked",$G415="Waiting on Others")),COUNT($R$5:R414)+1,"")</x:f>
      </x:c>
      <x:c r="S415" s="34" t="str">
        <x:f>IF(AND($B415&lt;&gt;"",$G415&lt;&gt;"Done",$G415&lt;&gt;"Canceled",OR($M415="Yes",$G415="Blocked",$G415="Waiting on Others")),COUNT($S$5:S414)+1,"")</x:f>
      </x:c>
    </x:row>
    <x:row r="416">
      <x:c r="A416" s="30"/>
      <x:c r="B416" s="30"/>
      <x:c r="C416" s="30"/>
      <x:c r="D416" s="30"/>
      <x:c r="E416" s="30"/>
      <x:c r="F416" s="30"/>
      <x:c r="G416" s="30"/>
      <x:c r="H416" s="31"/>
      <x:c r="I416" s="32"/>
      <x:c r="J416" s="33"/>
      <x:c r="K416" s="30"/>
      <x:c r="L416" s="30"/>
      <x:c r="M416" s="30"/>
      <x:c r="N416" s="30"/>
      <x:c r="O416" s="31"/>
      <x:c r="P416" s="30"/>
      <x:c r="Q416" s="30"/>
      <x:c r="R416" s="34" t="str">
        <x:f>IF(AND($B416&lt;&gt;"",$G416&lt;&gt;"Done",$G416&lt;&gt;"Canceled",OR($L416="Yes",$H416&lt;=TODAY()+1,$F416="P0 Critical",$F416="P1 High",$G416="Blocked",$G416="Waiting on Others")),COUNT($R$5:R415)+1,"")</x:f>
      </x:c>
      <x:c r="S416" s="34" t="str">
        <x:f>IF(AND($B416&lt;&gt;"",$G416&lt;&gt;"Done",$G416&lt;&gt;"Canceled",OR($M416="Yes",$G416="Blocked",$G416="Waiting on Others")),COUNT($S$5:S415)+1,"")</x:f>
      </x:c>
    </x:row>
    <x:row r="417">
      <x:c r="A417" s="30"/>
      <x:c r="B417" s="30"/>
      <x:c r="C417" s="30"/>
      <x:c r="D417" s="30"/>
      <x:c r="E417" s="30"/>
      <x:c r="F417" s="30"/>
      <x:c r="G417" s="30"/>
      <x:c r="H417" s="31"/>
      <x:c r="I417" s="32"/>
      <x:c r="J417" s="33"/>
      <x:c r="K417" s="30"/>
      <x:c r="L417" s="30"/>
      <x:c r="M417" s="30"/>
      <x:c r="N417" s="30"/>
      <x:c r="O417" s="31"/>
      <x:c r="P417" s="30"/>
      <x:c r="Q417" s="30"/>
      <x:c r="R417" s="34" t="str">
        <x:f>IF(AND($B417&lt;&gt;"",$G417&lt;&gt;"Done",$G417&lt;&gt;"Canceled",OR($L417="Yes",$H417&lt;=TODAY()+1,$F417="P0 Critical",$F417="P1 High",$G417="Blocked",$G417="Waiting on Others")),COUNT($R$5:R416)+1,"")</x:f>
      </x:c>
      <x:c r="S417" s="34" t="str">
        <x:f>IF(AND($B417&lt;&gt;"",$G417&lt;&gt;"Done",$G417&lt;&gt;"Canceled",OR($M417="Yes",$G417="Blocked",$G417="Waiting on Others")),COUNT($S$5:S416)+1,"")</x:f>
      </x:c>
    </x:row>
    <x:row r="418">
      <x:c r="A418" s="30"/>
      <x:c r="B418" s="30"/>
      <x:c r="C418" s="30"/>
      <x:c r="D418" s="30"/>
      <x:c r="E418" s="30"/>
      <x:c r="F418" s="30"/>
      <x:c r="G418" s="30"/>
      <x:c r="H418" s="31"/>
      <x:c r="I418" s="32"/>
      <x:c r="J418" s="33"/>
      <x:c r="K418" s="30"/>
      <x:c r="L418" s="30"/>
      <x:c r="M418" s="30"/>
      <x:c r="N418" s="30"/>
      <x:c r="O418" s="31"/>
      <x:c r="P418" s="30"/>
      <x:c r="Q418" s="30"/>
      <x:c r="R418" s="34" t="str">
        <x:f>IF(AND($B418&lt;&gt;"",$G418&lt;&gt;"Done",$G418&lt;&gt;"Canceled",OR($L418="Yes",$H418&lt;=TODAY()+1,$F418="P0 Critical",$F418="P1 High",$G418="Blocked",$G418="Waiting on Others")),COUNT($R$5:R417)+1,"")</x:f>
      </x:c>
      <x:c r="S418" s="34" t="str">
        <x:f>IF(AND($B418&lt;&gt;"",$G418&lt;&gt;"Done",$G418&lt;&gt;"Canceled",OR($M418="Yes",$G418="Blocked",$G418="Waiting on Others")),COUNT($S$5:S417)+1,"")</x:f>
      </x:c>
    </x:row>
    <x:row r="419">
      <x:c r="A419" s="30"/>
      <x:c r="B419" s="30"/>
      <x:c r="C419" s="30"/>
      <x:c r="D419" s="30"/>
      <x:c r="E419" s="30"/>
      <x:c r="F419" s="30"/>
      <x:c r="G419" s="30"/>
      <x:c r="H419" s="31"/>
      <x:c r="I419" s="32"/>
      <x:c r="J419" s="33"/>
      <x:c r="K419" s="30"/>
      <x:c r="L419" s="30"/>
      <x:c r="M419" s="30"/>
      <x:c r="N419" s="30"/>
      <x:c r="O419" s="31"/>
      <x:c r="P419" s="30"/>
      <x:c r="Q419" s="30"/>
      <x:c r="R419" s="34" t="str">
        <x:f>IF(AND($B419&lt;&gt;"",$G419&lt;&gt;"Done",$G419&lt;&gt;"Canceled",OR($L419="Yes",$H419&lt;=TODAY()+1,$F419="P0 Critical",$F419="P1 High",$G419="Blocked",$G419="Waiting on Others")),COUNT($R$5:R418)+1,"")</x:f>
      </x:c>
      <x:c r="S419" s="34" t="str">
        <x:f>IF(AND($B419&lt;&gt;"",$G419&lt;&gt;"Done",$G419&lt;&gt;"Canceled",OR($M419="Yes",$G419="Blocked",$G419="Waiting on Others")),COUNT($S$5:S418)+1,"")</x:f>
      </x:c>
    </x:row>
    <x:row r="420">
      <x:c r="A420" s="30"/>
      <x:c r="B420" s="30"/>
      <x:c r="C420" s="30"/>
      <x:c r="D420" s="30"/>
      <x:c r="E420" s="30"/>
      <x:c r="F420" s="30"/>
      <x:c r="G420" s="30"/>
      <x:c r="H420" s="31"/>
      <x:c r="I420" s="32"/>
      <x:c r="J420" s="33"/>
      <x:c r="K420" s="30"/>
      <x:c r="L420" s="30"/>
      <x:c r="M420" s="30"/>
      <x:c r="N420" s="30"/>
      <x:c r="O420" s="31"/>
      <x:c r="P420" s="30"/>
      <x:c r="Q420" s="30"/>
      <x:c r="R420" s="34" t="str">
        <x:f>IF(AND($B420&lt;&gt;"",$G420&lt;&gt;"Done",$G420&lt;&gt;"Canceled",OR($L420="Yes",$H420&lt;=TODAY()+1,$F420="P0 Critical",$F420="P1 High",$G420="Blocked",$G420="Waiting on Others")),COUNT($R$5:R419)+1,"")</x:f>
      </x:c>
      <x:c r="S420" s="34" t="str">
        <x:f>IF(AND($B420&lt;&gt;"",$G420&lt;&gt;"Done",$G420&lt;&gt;"Canceled",OR($M420="Yes",$G420="Blocked",$G420="Waiting on Others")),COUNT($S$5:S419)+1,"")</x:f>
      </x:c>
    </x:row>
    <x:row r="421">
      <x:c r="A421" s="30"/>
      <x:c r="B421" s="30"/>
      <x:c r="C421" s="30"/>
      <x:c r="D421" s="30"/>
      <x:c r="E421" s="30"/>
      <x:c r="F421" s="30"/>
      <x:c r="G421" s="30"/>
      <x:c r="H421" s="31"/>
      <x:c r="I421" s="32"/>
      <x:c r="J421" s="33"/>
      <x:c r="K421" s="30"/>
      <x:c r="L421" s="30"/>
      <x:c r="M421" s="30"/>
      <x:c r="N421" s="30"/>
      <x:c r="O421" s="31"/>
      <x:c r="P421" s="30"/>
      <x:c r="Q421" s="30"/>
      <x:c r="R421" s="34" t="str">
        <x:f>IF(AND($B421&lt;&gt;"",$G421&lt;&gt;"Done",$G421&lt;&gt;"Canceled",OR($L421="Yes",$H421&lt;=TODAY()+1,$F421="P0 Critical",$F421="P1 High",$G421="Blocked",$G421="Waiting on Others")),COUNT($R$5:R420)+1,"")</x:f>
      </x:c>
      <x:c r="S421" s="34" t="str">
        <x:f>IF(AND($B421&lt;&gt;"",$G421&lt;&gt;"Done",$G421&lt;&gt;"Canceled",OR($M421="Yes",$G421="Blocked",$G421="Waiting on Others")),COUNT($S$5:S420)+1,"")</x:f>
      </x:c>
    </x:row>
    <x:row r="422">
      <x:c r="A422" s="30"/>
      <x:c r="B422" s="30"/>
      <x:c r="C422" s="30"/>
      <x:c r="D422" s="30"/>
      <x:c r="E422" s="30"/>
      <x:c r="F422" s="30"/>
      <x:c r="G422" s="30"/>
      <x:c r="H422" s="31"/>
      <x:c r="I422" s="32"/>
      <x:c r="J422" s="33"/>
      <x:c r="K422" s="30"/>
      <x:c r="L422" s="30"/>
      <x:c r="M422" s="30"/>
      <x:c r="N422" s="30"/>
      <x:c r="O422" s="31"/>
      <x:c r="P422" s="30"/>
      <x:c r="Q422" s="30"/>
      <x:c r="R422" s="34" t="str">
        <x:f>IF(AND($B422&lt;&gt;"",$G422&lt;&gt;"Done",$G422&lt;&gt;"Canceled",OR($L422="Yes",$H422&lt;=TODAY()+1,$F422="P0 Critical",$F422="P1 High",$G422="Blocked",$G422="Waiting on Others")),COUNT($R$5:R421)+1,"")</x:f>
      </x:c>
      <x:c r="S422" s="34" t="str">
        <x:f>IF(AND($B422&lt;&gt;"",$G422&lt;&gt;"Done",$G422&lt;&gt;"Canceled",OR($M422="Yes",$G422="Blocked",$G422="Waiting on Others")),COUNT($S$5:S421)+1,"")</x:f>
      </x:c>
    </x:row>
    <x:row r="423">
      <x:c r="A423" s="30"/>
      <x:c r="B423" s="30"/>
      <x:c r="C423" s="30"/>
      <x:c r="D423" s="30"/>
      <x:c r="E423" s="30"/>
      <x:c r="F423" s="30"/>
      <x:c r="G423" s="30"/>
      <x:c r="H423" s="31"/>
      <x:c r="I423" s="32"/>
      <x:c r="J423" s="33"/>
      <x:c r="K423" s="30"/>
      <x:c r="L423" s="30"/>
      <x:c r="M423" s="30"/>
      <x:c r="N423" s="30"/>
      <x:c r="O423" s="31"/>
      <x:c r="P423" s="30"/>
      <x:c r="Q423" s="30"/>
      <x:c r="R423" s="34" t="str">
        <x:f>IF(AND($B423&lt;&gt;"",$G423&lt;&gt;"Done",$G423&lt;&gt;"Canceled",OR($L423="Yes",$H423&lt;=TODAY()+1,$F423="P0 Critical",$F423="P1 High",$G423="Blocked",$G423="Waiting on Others")),COUNT($R$5:R422)+1,"")</x:f>
      </x:c>
      <x:c r="S423" s="34" t="str">
        <x:f>IF(AND($B423&lt;&gt;"",$G423&lt;&gt;"Done",$G423&lt;&gt;"Canceled",OR($M423="Yes",$G423="Blocked",$G423="Waiting on Others")),COUNT($S$5:S422)+1,"")</x:f>
      </x:c>
    </x:row>
    <x:row r="424">
      <x:c r="A424" s="30"/>
      <x:c r="B424" s="30"/>
      <x:c r="C424" s="30"/>
      <x:c r="D424" s="30"/>
      <x:c r="E424" s="30"/>
      <x:c r="F424" s="30"/>
      <x:c r="G424" s="30"/>
      <x:c r="H424" s="31"/>
      <x:c r="I424" s="32"/>
      <x:c r="J424" s="33"/>
      <x:c r="K424" s="30"/>
      <x:c r="L424" s="30"/>
      <x:c r="M424" s="30"/>
      <x:c r="N424" s="30"/>
      <x:c r="O424" s="31"/>
      <x:c r="P424" s="30"/>
      <x:c r="Q424" s="30"/>
      <x:c r="R424" s="34" t="str">
        <x:f>IF(AND($B424&lt;&gt;"",$G424&lt;&gt;"Done",$G424&lt;&gt;"Canceled",OR($L424="Yes",$H424&lt;=TODAY()+1,$F424="P0 Critical",$F424="P1 High",$G424="Blocked",$G424="Waiting on Others")),COUNT($R$5:R423)+1,"")</x:f>
      </x:c>
      <x:c r="S424" s="34" t="str">
        <x:f>IF(AND($B424&lt;&gt;"",$G424&lt;&gt;"Done",$G424&lt;&gt;"Canceled",OR($M424="Yes",$G424="Blocked",$G424="Waiting on Others")),COUNT($S$5:S423)+1,"")</x:f>
      </x:c>
    </x:row>
    <x:row r="425">
      <x:c r="A425" s="30"/>
      <x:c r="B425" s="30"/>
      <x:c r="C425" s="30"/>
      <x:c r="D425" s="30"/>
      <x:c r="E425" s="30"/>
      <x:c r="F425" s="30"/>
      <x:c r="G425" s="30"/>
      <x:c r="H425" s="31"/>
      <x:c r="I425" s="32"/>
      <x:c r="J425" s="33"/>
      <x:c r="K425" s="30"/>
      <x:c r="L425" s="30"/>
      <x:c r="M425" s="30"/>
      <x:c r="N425" s="30"/>
      <x:c r="O425" s="31"/>
      <x:c r="P425" s="30"/>
      <x:c r="Q425" s="30"/>
      <x:c r="R425" s="34" t="str">
        <x:f>IF(AND($B425&lt;&gt;"",$G425&lt;&gt;"Done",$G425&lt;&gt;"Canceled",OR($L425="Yes",$H425&lt;=TODAY()+1,$F425="P0 Critical",$F425="P1 High",$G425="Blocked",$G425="Waiting on Others")),COUNT($R$5:R424)+1,"")</x:f>
      </x:c>
      <x:c r="S425" s="34" t="str">
        <x:f>IF(AND($B425&lt;&gt;"",$G425&lt;&gt;"Done",$G425&lt;&gt;"Canceled",OR($M425="Yes",$G425="Blocked",$G425="Waiting on Others")),COUNT($S$5:S424)+1,"")</x:f>
      </x:c>
    </x:row>
    <x:row r="426">
      <x:c r="A426" s="30"/>
      <x:c r="B426" s="30"/>
      <x:c r="C426" s="30"/>
      <x:c r="D426" s="30"/>
      <x:c r="E426" s="30"/>
      <x:c r="F426" s="30"/>
      <x:c r="G426" s="30"/>
      <x:c r="H426" s="31"/>
      <x:c r="I426" s="32"/>
      <x:c r="J426" s="33"/>
      <x:c r="K426" s="30"/>
      <x:c r="L426" s="30"/>
      <x:c r="M426" s="30"/>
      <x:c r="N426" s="30"/>
      <x:c r="O426" s="31"/>
      <x:c r="P426" s="30"/>
      <x:c r="Q426" s="30"/>
      <x:c r="R426" s="34" t="str">
        <x:f>IF(AND($B426&lt;&gt;"",$G426&lt;&gt;"Done",$G426&lt;&gt;"Canceled",OR($L426="Yes",$H426&lt;=TODAY()+1,$F426="P0 Critical",$F426="P1 High",$G426="Blocked",$G426="Waiting on Others")),COUNT($R$5:R425)+1,"")</x:f>
      </x:c>
      <x:c r="S426" s="34" t="str">
        <x:f>IF(AND($B426&lt;&gt;"",$G426&lt;&gt;"Done",$G426&lt;&gt;"Canceled",OR($M426="Yes",$G426="Blocked",$G426="Waiting on Others")),COUNT($S$5:S425)+1,"")</x:f>
      </x:c>
    </x:row>
    <x:row r="427">
      <x:c r="A427" s="30"/>
      <x:c r="B427" s="30"/>
      <x:c r="C427" s="30"/>
      <x:c r="D427" s="30"/>
      <x:c r="E427" s="30"/>
      <x:c r="F427" s="30"/>
      <x:c r="G427" s="30"/>
      <x:c r="H427" s="31"/>
      <x:c r="I427" s="32"/>
      <x:c r="J427" s="33"/>
      <x:c r="K427" s="30"/>
      <x:c r="L427" s="30"/>
      <x:c r="M427" s="30"/>
      <x:c r="N427" s="30"/>
      <x:c r="O427" s="31"/>
      <x:c r="P427" s="30"/>
      <x:c r="Q427" s="30"/>
      <x:c r="R427" s="34" t="str">
        <x:f>IF(AND($B427&lt;&gt;"",$G427&lt;&gt;"Done",$G427&lt;&gt;"Canceled",OR($L427="Yes",$H427&lt;=TODAY()+1,$F427="P0 Critical",$F427="P1 High",$G427="Blocked",$G427="Waiting on Others")),COUNT($R$5:R426)+1,"")</x:f>
      </x:c>
      <x:c r="S427" s="34" t="str">
        <x:f>IF(AND($B427&lt;&gt;"",$G427&lt;&gt;"Done",$G427&lt;&gt;"Canceled",OR($M427="Yes",$G427="Blocked",$G427="Waiting on Others")),COUNT($S$5:S426)+1,"")</x:f>
      </x:c>
    </x:row>
    <x:row r="428">
      <x:c r="A428" s="30"/>
      <x:c r="B428" s="30"/>
      <x:c r="C428" s="30"/>
      <x:c r="D428" s="30"/>
      <x:c r="E428" s="30"/>
      <x:c r="F428" s="30"/>
      <x:c r="G428" s="30"/>
      <x:c r="H428" s="31"/>
      <x:c r="I428" s="32"/>
      <x:c r="J428" s="33"/>
      <x:c r="K428" s="30"/>
      <x:c r="L428" s="30"/>
      <x:c r="M428" s="30"/>
      <x:c r="N428" s="30"/>
      <x:c r="O428" s="31"/>
      <x:c r="P428" s="30"/>
      <x:c r="Q428" s="30"/>
      <x:c r="R428" s="34" t="str">
        <x:f>IF(AND($B428&lt;&gt;"",$G428&lt;&gt;"Done",$G428&lt;&gt;"Canceled",OR($L428="Yes",$H428&lt;=TODAY()+1,$F428="P0 Critical",$F428="P1 High",$G428="Blocked",$G428="Waiting on Others")),COUNT($R$5:R427)+1,"")</x:f>
      </x:c>
      <x:c r="S428" s="34" t="str">
        <x:f>IF(AND($B428&lt;&gt;"",$G428&lt;&gt;"Done",$G428&lt;&gt;"Canceled",OR($M428="Yes",$G428="Blocked",$G428="Waiting on Others")),COUNT($S$5:S427)+1,"")</x:f>
      </x:c>
    </x:row>
    <x:row r="429">
      <x:c r="A429" s="30"/>
      <x:c r="B429" s="30"/>
      <x:c r="C429" s="30"/>
      <x:c r="D429" s="30"/>
      <x:c r="E429" s="30"/>
      <x:c r="F429" s="30"/>
      <x:c r="G429" s="30"/>
      <x:c r="H429" s="31"/>
      <x:c r="I429" s="32"/>
      <x:c r="J429" s="33"/>
      <x:c r="K429" s="30"/>
      <x:c r="L429" s="30"/>
      <x:c r="M429" s="30"/>
      <x:c r="N429" s="30"/>
      <x:c r="O429" s="31"/>
      <x:c r="P429" s="30"/>
      <x:c r="Q429" s="30"/>
      <x:c r="R429" s="34" t="str">
        <x:f>IF(AND($B429&lt;&gt;"",$G429&lt;&gt;"Done",$G429&lt;&gt;"Canceled",OR($L429="Yes",$H429&lt;=TODAY()+1,$F429="P0 Critical",$F429="P1 High",$G429="Blocked",$G429="Waiting on Others")),COUNT($R$5:R428)+1,"")</x:f>
      </x:c>
      <x:c r="S429" s="34" t="str">
        <x:f>IF(AND($B429&lt;&gt;"",$G429&lt;&gt;"Done",$G429&lt;&gt;"Canceled",OR($M429="Yes",$G429="Blocked",$G429="Waiting on Others")),COUNT($S$5:S428)+1,"")</x:f>
      </x:c>
    </x:row>
    <x:row r="430">
      <x:c r="A430" s="30"/>
      <x:c r="B430" s="30"/>
      <x:c r="C430" s="30"/>
      <x:c r="D430" s="30"/>
      <x:c r="E430" s="30"/>
      <x:c r="F430" s="30"/>
      <x:c r="G430" s="30"/>
      <x:c r="H430" s="31"/>
      <x:c r="I430" s="32"/>
      <x:c r="J430" s="33"/>
      <x:c r="K430" s="30"/>
      <x:c r="L430" s="30"/>
      <x:c r="M430" s="30"/>
      <x:c r="N430" s="30"/>
      <x:c r="O430" s="31"/>
      <x:c r="P430" s="30"/>
      <x:c r="Q430" s="30"/>
      <x:c r="R430" s="34" t="str">
        <x:f>IF(AND($B430&lt;&gt;"",$G430&lt;&gt;"Done",$G430&lt;&gt;"Canceled",OR($L430="Yes",$H430&lt;=TODAY()+1,$F430="P0 Critical",$F430="P1 High",$G430="Blocked",$G430="Waiting on Others")),COUNT($R$5:R429)+1,"")</x:f>
      </x:c>
      <x:c r="S430" s="34" t="str">
        <x:f>IF(AND($B430&lt;&gt;"",$G430&lt;&gt;"Done",$G430&lt;&gt;"Canceled",OR($M430="Yes",$G430="Blocked",$G430="Waiting on Others")),COUNT($S$5:S429)+1,"")</x:f>
      </x:c>
    </x:row>
    <x:row r="431">
      <x:c r="A431" s="30"/>
      <x:c r="B431" s="30"/>
      <x:c r="C431" s="30"/>
      <x:c r="D431" s="30"/>
      <x:c r="E431" s="30"/>
      <x:c r="F431" s="30"/>
      <x:c r="G431" s="30"/>
      <x:c r="H431" s="31"/>
      <x:c r="I431" s="32"/>
      <x:c r="J431" s="33"/>
      <x:c r="K431" s="30"/>
      <x:c r="L431" s="30"/>
      <x:c r="M431" s="30"/>
      <x:c r="N431" s="30"/>
      <x:c r="O431" s="31"/>
      <x:c r="P431" s="30"/>
      <x:c r="Q431" s="30"/>
      <x:c r="R431" s="34" t="str">
        <x:f>IF(AND($B431&lt;&gt;"",$G431&lt;&gt;"Done",$G431&lt;&gt;"Canceled",OR($L431="Yes",$H431&lt;=TODAY()+1,$F431="P0 Critical",$F431="P1 High",$G431="Blocked",$G431="Waiting on Others")),COUNT($R$5:R430)+1,"")</x:f>
      </x:c>
      <x:c r="S431" s="34" t="str">
        <x:f>IF(AND($B431&lt;&gt;"",$G431&lt;&gt;"Done",$G431&lt;&gt;"Canceled",OR($M431="Yes",$G431="Blocked",$G431="Waiting on Others")),COUNT($S$5:S430)+1,"")</x:f>
      </x:c>
    </x:row>
    <x:row r="432">
      <x:c r="A432" s="30"/>
      <x:c r="B432" s="30"/>
      <x:c r="C432" s="30"/>
      <x:c r="D432" s="30"/>
      <x:c r="E432" s="30"/>
      <x:c r="F432" s="30"/>
      <x:c r="G432" s="30"/>
      <x:c r="H432" s="31"/>
      <x:c r="I432" s="32"/>
      <x:c r="J432" s="33"/>
      <x:c r="K432" s="30"/>
      <x:c r="L432" s="30"/>
      <x:c r="M432" s="30"/>
      <x:c r="N432" s="30"/>
      <x:c r="O432" s="31"/>
      <x:c r="P432" s="30"/>
      <x:c r="Q432" s="30"/>
      <x:c r="R432" s="34" t="str">
        <x:f>IF(AND($B432&lt;&gt;"",$G432&lt;&gt;"Done",$G432&lt;&gt;"Canceled",OR($L432="Yes",$H432&lt;=TODAY()+1,$F432="P0 Critical",$F432="P1 High",$G432="Blocked",$G432="Waiting on Others")),COUNT($R$5:R431)+1,"")</x:f>
      </x:c>
      <x:c r="S432" s="34" t="str">
        <x:f>IF(AND($B432&lt;&gt;"",$G432&lt;&gt;"Done",$G432&lt;&gt;"Canceled",OR($M432="Yes",$G432="Blocked",$G432="Waiting on Others")),COUNT($S$5:S431)+1,"")</x:f>
      </x:c>
    </x:row>
    <x:row r="433">
      <x:c r="A433" s="30"/>
      <x:c r="B433" s="30"/>
      <x:c r="C433" s="30"/>
      <x:c r="D433" s="30"/>
      <x:c r="E433" s="30"/>
      <x:c r="F433" s="30"/>
      <x:c r="G433" s="30"/>
      <x:c r="H433" s="31"/>
      <x:c r="I433" s="32"/>
      <x:c r="J433" s="33"/>
      <x:c r="K433" s="30"/>
      <x:c r="L433" s="30"/>
      <x:c r="M433" s="30"/>
      <x:c r="N433" s="30"/>
      <x:c r="O433" s="31"/>
      <x:c r="P433" s="30"/>
      <x:c r="Q433" s="30"/>
      <x:c r="R433" s="34" t="str">
        <x:f>IF(AND($B433&lt;&gt;"",$G433&lt;&gt;"Done",$G433&lt;&gt;"Canceled",OR($L433="Yes",$H433&lt;=TODAY()+1,$F433="P0 Critical",$F433="P1 High",$G433="Blocked",$G433="Waiting on Others")),COUNT($R$5:R432)+1,"")</x:f>
      </x:c>
      <x:c r="S433" s="34" t="str">
        <x:f>IF(AND($B433&lt;&gt;"",$G433&lt;&gt;"Done",$G433&lt;&gt;"Canceled",OR($M433="Yes",$G433="Blocked",$G433="Waiting on Others")),COUNT($S$5:S432)+1,"")</x:f>
      </x:c>
    </x:row>
    <x:row r="434">
      <x:c r="A434" s="30"/>
      <x:c r="B434" s="30"/>
      <x:c r="C434" s="30"/>
      <x:c r="D434" s="30"/>
      <x:c r="E434" s="30"/>
      <x:c r="F434" s="30"/>
      <x:c r="G434" s="30"/>
      <x:c r="H434" s="31"/>
      <x:c r="I434" s="32"/>
      <x:c r="J434" s="33"/>
      <x:c r="K434" s="30"/>
      <x:c r="L434" s="30"/>
      <x:c r="M434" s="30"/>
      <x:c r="N434" s="30"/>
      <x:c r="O434" s="31"/>
      <x:c r="P434" s="30"/>
      <x:c r="Q434" s="30"/>
      <x:c r="R434" s="34" t="str">
        <x:f>IF(AND($B434&lt;&gt;"",$G434&lt;&gt;"Done",$G434&lt;&gt;"Canceled",OR($L434="Yes",$H434&lt;=TODAY()+1,$F434="P0 Critical",$F434="P1 High",$G434="Blocked",$G434="Waiting on Others")),COUNT($R$5:R433)+1,"")</x:f>
      </x:c>
      <x:c r="S434" s="34" t="str">
        <x:f>IF(AND($B434&lt;&gt;"",$G434&lt;&gt;"Done",$G434&lt;&gt;"Canceled",OR($M434="Yes",$G434="Blocked",$G434="Waiting on Others")),COUNT($S$5:S433)+1,"")</x:f>
      </x:c>
    </x:row>
    <x:row r="435">
      <x:c r="A435" s="30"/>
      <x:c r="B435" s="30"/>
      <x:c r="C435" s="30"/>
      <x:c r="D435" s="30"/>
      <x:c r="E435" s="30"/>
      <x:c r="F435" s="30"/>
      <x:c r="G435" s="30"/>
      <x:c r="H435" s="31"/>
      <x:c r="I435" s="32"/>
      <x:c r="J435" s="33"/>
      <x:c r="K435" s="30"/>
      <x:c r="L435" s="30"/>
      <x:c r="M435" s="30"/>
      <x:c r="N435" s="30"/>
      <x:c r="O435" s="31"/>
      <x:c r="P435" s="30"/>
      <x:c r="Q435" s="30"/>
      <x:c r="R435" s="34" t="str">
        <x:f>IF(AND($B435&lt;&gt;"",$G435&lt;&gt;"Done",$G435&lt;&gt;"Canceled",OR($L435="Yes",$H435&lt;=TODAY()+1,$F435="P0 Critical",$F435="P1 High",$G435="Blocked",$G435="Waiting on Others")),COUNT($R$5:R434)+1,"")</x:f>
      </x:c>
      <x:c r="S435" s="34" t="str">
        <x:f>IF(AND($B435&lt;&gt;"",$G435&lt;&gt;"Done",$G435&lt;&gt;"Canceled",OR($M435="Yes",$G435="Blocked",$G435="Waiting on Others")),COUNT($S$5:S434)+1,"")</x:f>
      </x:c>
    </x:row>
    <x:row r="436">
      <x:c r="A436" s="30"/>
      <x:c r="B436" s="30"/>
      <x:c r="C436" s="30"/>
      <x:c r="D436" s="30"/>
      <x:c r="E436" s="30"/>
      <x:c r="F436" s="30"/>
      <x:c r="G436" s="30"/>
      <x:c r="H436" s="31"/>
      <x:c r="I436" s="32"/>
      <x:c r="J436" s="33"/>
      <x:c r="K436" s="30"/>
      <x:c r="L436" s="30"/>
      <x:c r="M436" s="30"/>
      <x:c r="N436" s="30"/>
      <x:c r="O436" s="31"/>
      <x:c r="P436" s="30"/>
      <x:c r="Q436" s="30"/>
      <x:c r="R436" s="34" t="str">
        <x:f>IF(AND($B436&lt;&gt;"",$G436&lt;&gt;"Done",$G436&lt;&gt;"Canceled",OR($L436="Yes",$H436&lt;=TODAY()+1,$F436="P0 Critical",$F436="P1 High",$G436="Blocked",$G436="Waiting on Others")),COUNT($R$5:R435)+1,"")</x:f>
      </x:c>
      <x:c r="S436" s="34" t="str">
        <x:f>IF(AND($B436&lt;&gt;"",$G436&lt;&gt;"Done",$G436&lt;&gt;"Canceled",OR($M436="Yes",$G436="Blocked",$G436="Waiting on Others")),COUNT($S$5:S435)+1,"")</x:f>
      </x:c>
    </x:row>
    <x:row r="437">
      <x:c r="A437" s="30"/>
      <x:c r="B437" s="30"/>
      <x:c r="C437" s="30"/>
      <x:c r="D437" s="30"/>
      <x:c r="E437" s="30"/>
      <x:c r="F437" s="30"/>
      <x:c r="G437" s="30"/>
      <x:c r="H437" s="31"/>
      <x:c r="I437" s="32"/>
      <x:c r="J437" s="33"/>
      <x:c r="K437" s="30"/>
      <x:c r="L437" s="30"/>
      <x:c r="M437" s="30"/>
      <x:c r="N437" s="30"/>
      <x:c r="O437" s="31"/>
      <x:c r="P437" s="30"/>
      <x:c r="Q437" s="30"/>
      <x:c r="R437" s="34" t="str">
        <x:f>IF(AND($B437&lt;&gt;"",$G437&lt;&gt;"Done",$G437&lt;&gt;"Canceled",OR($L437="Yes",$H437&lt;=TODAY()+1,$F437="P0 Critical",$F437="P1 High",$G437="Blocked",$G437="Waiting on Others")),COUNT($R$5:R436)+1,"")</x:f>
      </x:c>
      <x:c r="S437" s="34" t="str">
        <x:f>IF(AND($B437&lt;&gt;"",$G437&lt;&gt;"Done",$G437&lt;&gt;"Canceled",OR($M437="Yes",$G437="Blocked",$G437="Waiting on Others")),COUNT($S$5:S436)+1,"")</x:f>
      </x:c>
    </x:row>
    <x:row r="438">
      <x:c r="A438" s="30"/>
      <x:c r="B438" s="30"/>
      <x:c r="C438" s="30"/>
      <x:c r="D438" s="30"/>
      <x:c r="E438" s="30"/>
      <x:c r="F438" s="30"/>
      <x:c r="G438" s="30"/>
      <x:c r="H438" s="31"/>
      <x:c r="I438" s="32"/>
      <x:c r="J438" s="33"/>
      <x:c r="K438" s="30"/>
      <x:c r="L438" s="30"/>
      <x:c r="M438" s="30"/>
      <x:c r="N438" s="30"/>
      <x:c r="O438" s="31"/>
      <x:c r="P438" s="30"/>
      <x:c r="Q438" s="30"/>
      <x:c r="R438" s="34" t="str">
        <x:f>IF(AND($B438&lt;&gt;"",$G438&lt;&gt;"Done",$G438&lt;&gt;"Canceled",OR($L438="Yes",$H438&lt;=TODAY()+1,$F438="P0 Critical",$F438="P1 High",$G438="Blocked",$G438="Waiting on Others")),COUNT($R$5:R437)+1,"")</x:f>
      </x:c>
      <x:c r="S438" s="34" t="str">
        <x:f>IF(AND($B438&lt;&gt;"",$G438&lt;&gt;"Done",$G438&lt;&gt;"Canceled",OR($M438="Yes",$G438="Blocked",$G438="Waiting on Others")),COUNT($S$5:S437)+1,"")</x:f>
      </x:c>
    </x:row>
    <x:row r="439">
      <x:c r="A439" s="30"/>
      <x:c r="B439" s="30"/>
      <x:c r="C439" s="30"/>
      <x:c r="D439" s="30"/>
      <x:c r="E439" s="30"/>
      <x:c r="F439" s="30"/>
      <x:c r="G439" s="30"/>
      <x:c r="H439" s="31"/>
      <x:c r="I439" s="32"/>
      <x:c r="J439" s="33"/>
      <x:c r="K439" s="30"/>
      <x:c r="L439" s="30"/>
      <x:c r="M439" s="30"/>
      <x:c r="N439" s="30"/>
      <x:c r="O439" s="31"/>
      <x:c r="P439" s="30"/>
      <x:c r="Q439" s="30"/>
      <x:c r="R439" s="34" t="str">
        <x:f>IF(AND($B439&lt;&gt;"",$G439&lt;&gt;"Done",$G439&lt;&gt;"Canceled",OR($L439="Yes",$H439&lt;=TODAY()+1,$F439="P0 Critical",$F439="P1 High",$G439="Blocked",$G439="Waiting on Others")),COUNT($R$5:R438)+1,"")</x:f>
      </x:c>
      <x:c r="S439" s="34" t="str">
        <x:f>IF(AND($B439&lt;&gt;"",$G439&lt;&gt;"Done",$G439&lt;&gt;"Canceled",OR($M439="Yes",$G439="Blocked",$G439="Waiting on Others")),COUNT($S$5:S438)+1,"")</x:f>
      </x:c>
    </x:row>
    <x:row r="440">
      <x:c r="A440" s="30"/>
      <x:c r="B440" s="30"/>
      <x:c r="C440" s="30"/>
      <x:c r="D440" s="30"/>
      <x:c r="E440" s="30"/>
      <x:c r="F440" s="30"/>
      <x:c r="G440" s="30"/>
      <x:c r="H440" s="31"/>
      <x:c r="I440" s="32"/>
      <x:c r="J440" s="33"/>
      <x:c r="K440" s="30"/>
      <x:c r="L440" s="30"/>
      <x:c r="M440" s="30"/>
      <x:c r="N440" s="30"/>
      <x:c r="O440" s="31"/>
      <x:c r="P440" s="30"/>
      <x:c r="Q440" s="30"/>
      <x:c r="R440" s="34" t="str">
        <x:f>IF(AND($B440&lt;&gt;"",$G440&lt;&gt;"Done",$G440&lt;&gt;"Canceled",OR($L440="Yes",$H440&lt;=TODAY()+1,$F440="P0 Critical",$F440="P1 High",$G440="Blocked",$G440="Waiting on Others")),COUNT($R$5:R439)+1,"")</x:f>
      </x:c>
      <x:c r="S440" s="34" t="str">
        <x:f>IF(AND($B440&lt;&gt;"",$G440&lt;&gt;"Done",$G440&lt;&gt;"Canceled",OR($M440="Yes",$G440="Blocked",$G440="Waiting on Others")),COUNT($S$5:S439)+1,"")</x:f>
      </x:c>
    </x:row>
    <x:row r="441">
      <x:c r="A441" s="30"/>
      <x:c r="B441" s="30"/>
      <x:c r="C441" s="30"/>
      <x:c r="D441" s="30"/>
      <x:c r="E441" s="30"/>
      <x:c r="F441" s="30"/>
      <x:c r="G441" s="30"/>
      <x:c r="H441" s="31"/>
      <x:c r="I441" s="32"/>
      <x:c r="J441" s="33"/>
      <x:c r="K441" s="30"/>
      <x:c r="L441" s="30"/>
      <x:c r="M441" s="30"/>
      <x:c r="N441" s="30"/>
      <x:c r="O441" s="31"/>
      <x:c r="P441" s="30"/>
      <x:c r="Q441" s="30"/>
      <x:c r="R441" s="34" t="str">
        <x:f>IF(AND($B441&lt;&gt;"",$G441&lt;&gt;"Done",$G441&lt;&gt;"Canceled",OR($L441="Yes",$H441&lt;=TODAY()+1,$F441="P0 Critical",$F441="P1 High",$G441="Blocked",$G441="Waiting on Others")),COUNT($R$5:R440)+1,"")</x:f>
      </x:c>
      <x:c r="S441" s="34" t="str">
        <x:f>IF(AND($B441&lt;&gt;"",$G441&lt;&gt;"Done",$G441&lt;&gt;"Canceled",OR($M441="Yes",$G441="Blocked",$G441="Waiting on Others")),COUNT($S$5:S440)+1,"")</x:f>
      </x:c>
    </x:row>
    <x:row r="442">
      <x:c r="A442" s="30"/>
      <x:c r="B442" s="30"/>
      <x:c r="C442" s="30"/>
      <x:c r="D442" s="30"/>
      <x:c r="E442" s="30"/>
      <x:c r="F442" s="30"/>
      <x:c r="G442" s="30"/>
      <x:c r="H442" s="31"/>
      <x:c r="I442" s="32"/>
      <x:c r="J442" s="33"/>
      <x:c r="K442" s="30"/>
      <x:c r="L442" s="30"/>
      <x:c r="M442" s="30"/>
      <x:c r="N442" s="30"/>
      <x:c r="O442" s="31"/>
      <x:c r="P442" s="30"/>
      <x:c r="Q442" s="30"/>
      <x:c r="R442" s="34" t="str">
        <x:f>IF(AND($B442&lt;&gt;"",$G442&lt;&gt;"Done",$G442&lt;&gt;"Canceled",OR($L442="Yes",$H442&lt;=TODAY()+1,$F442="P0 Critical",$F442="P1 High",$G442="Blocked",$G442="Waiting on Others")),COUNT($R$5:R441)+1,"")</x:f>
      </x:c>
      <x:c r="S442" s="34" t="str">
        <x:f>IF(AND($B442&lt;&gt;"",$G442&lt;&gt;"Done",$G442&lt;&gt;"Canceled",OR($M442="Yes",$G442="Blocked",$G442="Waiting on Others")),COUNT($S$5:S441)+1,"")</x:f>
      </x:c>
    </x:row>
    <x:row r="443">
      <x:c r="A443" s="30"/>
      <x:c r="B443" s="30"/>
      <x:c r="C443" s="30"/>
      <x:c r="D443" s="30"/>
      <x:c r="E443" s="30"/>
      <x:c r="F443" s="30"/>
      <x:c r="G443" s="30"/>
      <x:c r="H443" s="31"/>
      <x:c r="I443" s="32"/>
      <x:c r="J443" s="33"/>
      <x:c r="K443" s="30"/>
      <x:c r="L443" s="30"/>
      <x:c r="M443" s="30"/>
      <x:c r="N443" s="30"/>
      <x:c r="O443" s="31"/>
      <x:c r="P443" s="30"/>
      <x:c r="Q443" s="30"/>
      <x:c r="R443" s="34" t="str">
        <x:f>IF(AND($B443&lt;&gt;"",$G443&lt;&gt;"Done",$G443&lt;&gt;"Canceled",OR($L443="Yes",$H443&lt;=TODAY()+1,$F443="P0 Critical",$F443="P1 High",$G443="Blocked",$G443="Waiting on Others")),COUNT($R$5:R442)+1,"")</x:f>
      </x:c>
      <x:c r="S443" s="34" t="str">
        <x:f>IF(AND($B443&lt;&gt;"",$G443&lt;&gt;"Done",$G443&lt;&gt;"Canceled",OR($M443="Yes",$G443="Blocked",$G443="Waiting on Others")),COUNT($S$5:S442)+1,"")</x:f>
      </x:c>
    </x:row>
    <x:row r="444">
      <x:c r="A444" s="30"/>
      <x:c r="B444" s="30"/>
      <x:c r="C444" s="30"/>
      <x:c r="D444" s="30"/>
      <x:c r="E444" s="30"/>
      <x:c r="F444" s="30"/>
      <x:c r="G444" s="30"/>
      <x:c r="H444" s="31"/>
      <x:c r="I444" s="32"/>
      <x:c r="J444" s="33"/>
      <x:c r="K444" s="30"/>
      <x:c r="L444" s="30"/>
      <x:c r="M444" s="30"/>
      <x:c r="N444" s="30"/>
      <x:c r="O444" s="31"/>
      <x:c r="P444" s="30"/>
      <x:c r="Q444" s="30"/>
      <x:c r="R444" s="34" t="str">
        <x:f>IF(AND($B444&lt;&gt;"",$G444&lt;&gt;"Done",$G444&lt;&gt;"Canceled",OR($L444="Yes",$H444&lt;=TODAY()+1,$F444="P0 Critical",$F444="P1 High",$G444="Blocked",$G444="Waiting on Others")),COUNT($R$5:R443)+1,"")</x:f>
      </x:c>
      <x:c r="S444" s="34" t="str">
        <x:f>IF(AND($B444&lt;&gt;"",$G444&lt;&gt;"Done",$G444&lt;&gt;"Canceled",OR($M444="Yes",$G444="Blocked",$G444="Waiting on Others")),COUNT($S$5:S443)+1,"")</x:f>
      </x:c>
    </x:row>
    <x:row r="445">
      <x:c r="A445" s="30"/>
      <x:c r="B445" s="30"/>
      <x:c r="C445" s="30"/>
      <x:c r="D445" s="30"/>
      <x:c r="E445" s="30"/>
      <x:c r="F445" s="30"/>
      <x:c r="G445" s="30"/>
      <x:c r="H445" s="31"/>
      <x:c r="I445" s="32"/>
      <x:c r="J445" s="33"/>
      <x:c r="K445" s="30"/>
      <x:c r="L445" s="30"/>
      <x:c r="M445" s="30"/>
      <x:c r="N445" s="30"/>
      <x:c r="O445" s="31"/>
      <x:c r="P445" s="30"/>
      <x:c r="Q445" s="30"/>
      <x:c r="R445" s="34" t="str">
        <x:f>IF(AND($B445&lt;&gt;"",$G445&lt;&gt;"Done",$G445&lt;&gt;"Canceled",OR($L445="Yes",$H445&lt;=TODAY()+1,$F445="P0 Critical",$F445="P1 High",$G445="Blocked",$G445="Waiting on Others")),COUNT($R$5:R444)+1,"")</x:f>
      </x:c>
      <x:c r="S445" s="34" t="str">
        <x:f>IF(AND($B445&lt;&gt;"",$G445&lt;&gt;"Done",$G445&lt;&gt;"Canceled",OR($M445="Yes",$G445="Blocked",$G445="Waiting on Others")),COUNT($S$5:S444)+1,"")</x:f>
      </x:c>
    </x:row>
    <x:row r="446">
      <x:c r="A446" s="30"/>
      <x:c r="B446" s="30"/>
      <x:c r="C446" s="30"/>
      <x:c r="D446" s="30"/>
      <x:c r="E446" s="30"/>
      <x:c r="F446" s="30"/>
      <x:c r="G446" s="30"/>
      <x:c r="H446" s="31"/>
      <x:c r="I446" s="32"/>
      <x:c r="J446" s="33"/>
      <x:c r="K446" s="30"/>
      <x:c r="L446" s="30"/>
      <x:c r="M446" s="30"/>
      <x:c r="N446" s="30"/>
      <x:c r="O446" s="31"/>
      <x:c r="P446" s="30"/>
      <x:c r="Q446" s="30"/>
      <x:c r="R446" s="34" t="str">
        <x:f>IF(AND($B446&lt;&gt;"",$G446&lt;&gt;"Done",$G446&lt;&gt;"Canceled",OR($L446="Yes",$H446&lt;=TODAY()+1,$F446="P0 Critical",$F446="P1 High",$G446="Blocked",$G446="Waiting on Others")),COUNT($R$5:R445)+1,"")</x:f>
      </x:c>
      <x:c r="S446" s="34" t="str">
        <x:f>IF(AND($B446&lt;&gt;"",$G446&lt;&gt;"Done",$G446&lt;&gt;"Canceled",OR($M446="Yes",$G446="Blocked",$G446="Waiting on Others")),COUNT($S$5:S445)+1,"")</x:f>
      </x:c>
    </x:row>
    <x:row r="447">
      <x:c r="A447" s="30"/>
      <x:c r="B447" s="30"/>
      <x:c r="C447" s="30"/>
      <x:c r="D447" s="30"/>
      <x:c r="E447" s="30"/>
      <x:c r="F447" s="30"/>
      <x:c r="G447" s="30"/>
      <x:c r="H447" s="31"/>
      <x:c r="I447" s="32"/>
      <x:c r="J447" s="33"/>
      <x:c r="K447" s="30"/>
      <x:c r="L447" s="30"/>
      <x:c r="M447" s="30"/>
      <x:c r="N447" s="30"/>
      <x:c r="O447" s="31"/>
      <x:c r="P447" s="30"/>
      <x:c r="Q447" s="30"/>
      <x:c r="R447" s="34" t="str">
        <x:f>IF(AND($B447&lt;&gt;"",$G447&lt;&gt;"Done",$G447&lt;&gt;"Canceled",OR($L447="Yes",$H447&lt;=TODAY()+1,$F447="P0 Critical",$F447="P1 High",$G447="Blocked",$G447="Waiting on Others")),COUNT($R$5:R446)+1,"")</x:f>
      </x:c>
      <x:c r="S447" s="34" t="str">
        <x:f>IF(AND($B447&lt;&gt;"",$G447&lt;&gt;"Done",$G447&lt;&gt;"Canceled",OR($M447="Yes",$G447="Blocked",$G447="Waiting on Others")),COUNT($S$5:S446)+1,"")</x:f>
      </x:c>
    </x:row>
    <x:row r="448">
      <x:c r="A448" s="30"/>
      <x:c r="B448" s="30"/>
      <x:c r="C448" s="30"/>
      <x:c r="D448" s="30"/>
      <x:c r="E448" s="30"/>
      <x:c r="F448" s="30"/>
      <x:c r="G448" s="30"/>
      <x:c r="H448" s="31"/>
      <x:c r="I448" s="32"/>
      <x:c r="J448" s="33"/>
      <x:c r="K448" s="30"/>
      <x:c r="L448" s="30"/>
      <x:c r="M448" s="30"/>
      <x:c r="N448" s="30"/>
      <x:c r="O448" s="31"/>
      <x:c r="P448" s="30"/>
      <x:c r="Q448" s="30"/>
      <x:c r="R448" s="34" t="str">
        <x:f>IF(AND($B448&lt;&gt;"",$G448&lt;&gt;"Done",$G448&lt;&gt;"Canceled",OR($L448="Yes",$H448&lt;=TODAY()+1,$F448="P0 Critical",$F448="P1 High",$G448="Blocked",$G448="Waiting on Others")),COUNT($R$5:R447)+1,"")</x:f>
      </x:c>
      <x:c r="S448" s="34" t="str">
        <x:f>IF(AND($B448&lt;&gt;"",$G448&lt;&gt;"Done",$G448&lt;&gt;"Canceled",OR($M448="Yes",$G448="Blocked",$G448="Waiting on Others")),COUNT($S$5:S447)+1,"")</x:f>
      </x:c>
    </x:row>
    <x:row r="449">
      <x:c r="A449" s="30"/>
      <x:c r="B449" s="30"/>
      <x:c r="C449" s="30"/>
      <x:c r="D449" s="30"/>
      <x:c r="E449" s="30"/>
      <x:c r="F449" s="30"/>
      <x:c r="G449" s="30"/>
      <x:c r="H449" s="31"/>
      <x:c r="I449" s="32"/>
      <x:c r="J449" s="33"/>
      <x:c r="K449" s="30"/>
      <x:c r="L449" s="30"/>
      <x:c r="M449" s="30"/>
      <x:c r="N449" s="30"/>
      <x:c r="O449" s="31"/>
      <x:c r="P449" s="30"/>
      <x:c r="Q449" s="30"/>
      <x:c r="R449" s="34" t="str">
        <x:f>IF(AND($B449&lt;&gt;"",$G449&lt;&gt;"Done",$G449&lt;&gt;"Canceled",OR($L449="Yes",$H449&lt;=TODAY()+1,$F449="P0 Critical",$F449="P1 High",$G449="Blocked",$G449="Waiting on Others")),COUNT($R$5:R448)+1,"")</x:f>
      </x:c>
      <x:c r="S449" s="34" t="str">
        <x:f>IF(AND($B449&lt;&gt;"",$G449&lt;&gt;"Done",$G449&lt;&gt;"Canceled",OR($M449="Yes",$G449="Blocked",$G449="Waiting on Others")),COUNT($S$5:S448)+1,"")</x:f>
      </x:c>
    </x:row>
    <x:row r="450">
      <x:c r="A450" s="30"/>
      <x:c r="B450" s="30"/>
      <x:c r="C450" s="30"/>
      <x:c r="D450" s="30"/>
      <x:c r="E450" s="30"/>
      <x:c r="F450" s="30"/>
      <x:c r="G450" s="30"/>
      <x:c r="H450" s="31"/>
      <x:c r="I450" s="32"/>
      <x:c r="J450" s="33"/>
      <x:c r="K450" s="30"/>
      <x:c r="L450" s="30"/>
      <x:c r="M450" s="30"/>
      <x:c r="N450" s="30"/>
      <x:c r="O450" s="31"/>
      <x:c r="P450" s="30"/>
      <x:c r="Q450" s="30"/>
      <x:c r="R450" s="34" t="str">
        <x:f>IF(AND($B450&lt;&gt;"",$G450&lt;&gt;"Done",$G450&lt;&gt;"Canceled",OR($L450="Yes",$H450&lt;=TODAY()+1,$F450="P0 Critical",$F450="P1 High",$G450="Blocked",$G450="Waiting on Others")),COUNT($R$5:R449)+1,"")</x:f>
      </x:c>
      <x:c r="S450" s="34" t="str">
        <x:f>IF(AND($B450&lt;&gt;"",$G450&lt;&gt;"Done",$G450&lt;&gt;"Canceled",OR($M450="Yes",$G450="Blocked",$G450="Waiting on Others")),COUNT($S$5:S449)+1,"")</x:f>
      </x:c>
    </x:row>
    <x:row r="451">
      <x:c r="A451" s="30"/>
      <x:c r="B451" s="30"/>
      <x:c r="C451" s="30"/>
      <x:c r="D451" s="30"/>
      <x:c r="E451" s="30"/>
      <x:c r="F451" s="30"/>
      <x:c r="G451" s="30"/>
      <x:c r="H451" s="31"/>
      <x:c r="I451" s="32"/>
      <x:c r="J451" s="33"/>
      <x:c r="K451" s="30"/>
      <x:c r="L451" s="30"/>
      <x:c r="M451" s="30"/>
      <x:c r="N451" s="30"/>
      <x:c r="O451" s="31"/>
      <x:c r="P451" s="30"/>
      <x:c r="Q451" s="30"/>
      <x:c r="R451" s="34" t="str">
        <x:f>IF(AND($B451&lt;&gt;"",$G451&lt;&gt;"Done",$G451&lt;&gt;"Canceled",OR($L451="Yes",$H451&lt;=TODAY()+1,$F451="P0 Critical",$F451="P1 High",$G451="Blocked",$G451="Waiting on Others")),COUNT($R$5:R450)+1,"")</x:f>
      </x:c>
      <x:c r="S451" s="34" t="str">
        <x:f>IF(AND($B451&lt;&gt;"",$G451&lt;&gt;"Done",$G451&lt;&gt;"Canceled",OR($M451="Yes",$G451="Blocked",$G451="Waiting on Others")),COUNT($S$5:S450)+1,"")</x:f>
      </x:c>
    </x:row>
    <x:row r="452">
      <x:c r="A452" s="30"/>
      <x:c r="B452" s="30"/>
      <x:c r="C452" s="30"/>
      <x:c r="D452" s="30"/>
      <x:c r="E452" s="30"/>
      <x:c r="F452" s="30"/>
      <x:c r="G452" s="30"/>
      <x:c r="H452" s="31"/>
      <x:c r="I452" s="32"/>
      <x:c r="J452" s="33"/>
      <x:c r="K452" s="30"/>
      <x:c r="L452" s="30"/>
      <x:c r="M452" s="30"/>
      <x:c r="N452" s="30"/>
      <x:c r="O452" s="31"/>
      <x:c r="P452" s="30"/>
      <x:c r="Q452" s="30"/>
      <x:c r="R452" s="34" t="str">
        <x:f>IF(AND($B452&lt;&gt;"",$G452&lt;&gt;"Done",$G452&lt;&gt;"Canceled",OR($L452="Yes",$H452&lt;=TODAY()+1,$F452="P0 Critical",$F452="P1 High",$G452="Blocked",$G452="Waiting on Others")),COUNT($R$5:R451)+1,"")</x:f>
      </x:c>
      <x:c r="S452" s="34" t="str">
        <x:f>IF(AND($B452&lt;&gt;"",$G452&lt;&gt;"Done",$G452&lt;&gt;"Canceled",OR($M452="Yes",$G452="Blocked",$G452="Waiting on Others")),COUNT($S$5:S451)+1,"")</x:f>
      </x:c>
    </x:row>
    <x:row r="453">
      <x:c r="A453" s="30"/>
      <x:c r="B453" s="30"/>
      <x:c r="C453" s="30"/>
      <x:c r="D453" s="30"/>
      <x:c r="E453" s="30"/>
      <x:c r="F453" s="30"/>
      <x:c r="G453" s="30"/>
      <x:c r="H453" s="31"/>
      <x:c r="I453" s="32"/>
      <x:c r="J453" s="33"/>
      <x:c r="K453" s="30"/>
      <x:c r="L453" s="30"/>
      <x:c r="M453" s="30"/>
      <x:c r="N453" s="30"/>
      <x:c r="O453" s="31"/>
      <x:c r="P453" s="30"/>
      <x:c r="Q453" s="30"/>
      <x:c r="R453" s="34" t="str">
        <x:f>IF(AND($B453&lt;&gt;"",$G453&lt;&gt;"Done",$G453&lt;&gt;"Canceled",OR($L453="Yes",$H453&lt;=TODAY()+1,$F453="P0 Critical",$F453="P1 High",$G453="Blocked",$G453="Waiting on Others")),COUNT($R$5:R452)+1,"")</x:f>
      </x:c>
      <x:c r="S453" s="34" t="str">
        <x:f>IF(AND($B453&lt;&gt;"",$G453&lt;&gt;"Done",$G453&lt;&gt;"Canceled",OR($M453="Yes",$G453="Blocked",$G453="Waiting on Others")),COUNT($S$5:S452)+1,"")</x:f>
      </x:c>
    </x:row>
    <x:row r="454">
      <x:c r="A454" s="30"/>
      <x:c r="B454" s="30"/>
      <x:c r="C454" s="30"/>
      <x:c r="D454" s="30"/>
      <x:c r="E454" s="30"/>
      <x:c r="F454" s="30"/>
      <x:c r="G454" s="30"/>
      <x:c r="H454" s="31"/>
      <x:c r="I454" s="32"/>
      <x:c r="J454" s="33"/>
      <x:c r="K454" s="30"/>
      <x:c r="L454" s="30"/>
      <x:c r="M454" s="30"/>
      <x:c r="N454" s="30"/>
      <x:c r="O454" s="31"/>
      <x:c r="P454" s="30"/>
      <x:c r="Q454" s="30"/>
      <x:c r="R454" s="34" t="str">
        <x:f>IF(AND($B454&lt;&gt;"",$G454&lt;&gt;"Done",$G454&lt;&gt;"Canceled",OR($L454="Yes",$H454&lt;=TODAY()+1,$F454="P0 Critical",$F454="P1 High",$G454="Blocked",$G454="Waiting on Others")),COUNT($R$5:R453)+1,"")</x:f>
      </x:c>
      <x:c r="S454" s="34" t="str">
        <x:f>IF(AND($B454&lt;&gt;"",$G454&lt;&gt;"Done",$G454&lt;&gt;"Canceled",OR($M454="Yes",$G454="Blocked",$G454="Waiting on Others")),COUNT($S$5:S453)+1,"")</x:f>
      </x:c>
    </x:row>
    <x:row r="455">
      <x:c r="A455" s="30"/>
      <x:c r="B455" s="30"/>
      <x:c r="C455" s="30"/>
      <x:c r="D455" s="30"/>
      <x:c r="E455" s="30"/>
      <x:c r="F455" s="30"/>
      <x:c r="G455" s="30"/>
      <x:c r="H455" s="31"/>
      <x:c r="I455" s="32"/>
      <x:c r="J455" s="33"/>
      <x:c r="K455" s="30"/>
      <x:c r="L455" s="30"/>
      <x:c r="M455" s="30"/>
      <x:c r="N455" s="30"/>
      <x:c r="O455" s="31"/>
      <x:c r="P455" s="30"/>
      <x:c r="Q455" s="30"/>
      <x:c r="R455" s="34" t="str">
        <x:f>IF(AND($B455&lt;&gt;"",$G455&lt;&gt;"Done",$G455&lt;&gt;"Canceled",OR($L455="Yes",$H455&lt;=TODAY()+1,$F455="P0 Critical",$F455="P1 High",$G455="Blocked",$G455="Waiting on Others")),COUNT($R$5:R454)+1,"")</x:f>
      </x:c>
      <x:c r="S455" s="34" t="str">
        <x:f>IF(AND($B455&lt;&gt;"",$G455&lt;&gt;"Done",$G455&lt;&gt;"Canceled",OR($M455="Yes",$G455="Blocked",$G455="Waiting on Others")),COUNT($S$5:S454)+1,"")</x:f>
      </x:c>
    </x:row>
    <x:row r="456">
      <x:c r="A456" s="30"/>
      <x:c r="B456" s="30"/>
      <x:c r="C456" s="30"/>
      <x:c r="D456" s="30"/>
      <x:c r="E456" s="30"/>
      <x:c r="F456" s="30"/>
      <x:c r="G456" s="30"/>
      <x:c r="H456" s="31"/>
      <x:c r="I456" s="32"/>
      <x:c r="J456" s="33"/>
      <x:c r="K456" s="30"/>
      <x:c r="L456" s="30"/>
      <x:c r="M456" s="30"/>
      <x:c r="N456" s="30"/>
      <x:c r="O456" s="31"/>
      <x:c r="P456" s="30"/>
      <x:c r="Q456" s="30"/>
      <x:c r="R456" s="34" t="str">
        <x:f>IF(AND($B456&lt;&gt;"",$G456&lt;&gt;"Done",$G456&lt;&gt;"Canceled",OR($L456="Yes",$H456&lt;=TODAY()+1,$F456="P0 Critical",$F456="P1 High",$G456="Blocked",$G456="Waiting on Others")),COUNT($R$5:R455)+1,"")</x:f>
      </x:c>
      <x:c r="S456" s="34" t="str">
        <x:f>IF(AND($B456&lt;&gt;"",$G456&lt;&gt;"Done",$G456&lt;&gt;"Canceled",OR($M456="Yes",$G456="Blocked",$G456="Waiting on Others")),COUNT($S$5:S455)+1,"")</x:f>
      </x:c>
    </x:row>
    <x:row r="457">
      <x:c r="A457" s="30"/>
      <x:c r="B457" s="30"/>
      <x:c r="C457" s="30"/>
      <x:c r="D457" s="30"/>
      <x:c r="E457" s="30"/>
      <x:c r="F457" s="30"/>
      <x:c r="G457" s="30"/>
      <x:c r="H457" s="31"/>
      <x:c r="I457" s="32"/>
      <x:c r="J457" s="33"/>
      <x:c r="K457" s="30"/>
      <x:c r="L457" s="30"/>
      <x:c r="M457" s="30"/>
      <x:c r="N457" s="30"/>
      <x:c r="O457" s="31"/>
      <x:c r="P457" s="30"/>
      <x:c r="Q457" s="30"/>
      <x:c r="R457" s="34" t="str">
        <x:f>IF(AND($B457&lt;&gt;"",$G457&lt;&gt;"Done",$G457&lt;&gt;"Canceled",OR($L457="Yes",$H457&lt;=TODAY()+1,$F457="P0 Critical",$F457="P1 High",$G457="Blocked",$G457="Waiting on Others")),COUNT($R$5:R456)+1,"")</x:f>
      </x:c>
      <x:c r="S457" s="34" t="str">
        <x:f>IF(AND($B457&lt;&gt;"",$G457&lt;&gt;"Done",$G457&lt;&gt;"Canceled",OR($M457="Yes",$G457="Blocked",$G457="Waiting on Others")),COUNT($S$5:S456)+1,"")</x:f>
      </x:c>
    </x:row>
    <x:row r="458">
      <x:c r="A458" s="30"/>
      <x:c r="B458" s="30"/>
      <x:c r="C458" s="30"/>
      <x:c r="D458" s="30"/>
      <x:c r="E458" s="30"/>
      <x:c r="F458" s="30"/>
      <x:c r="G458" s="30"/>
      <x:c r="H458" s="31"/>
      <x:c r="I458" s="32"/>
      <x:c r="J458" s="33"/>
      <x:c r="K458" s="30"/>
      <x:c r="L458" s="30"/>
      <x:c r="M458" s="30"/>
      <x:c r="N458" s="30"/>
      <x:c r="O458" s="31"/>
      <x:c r="P458" s="30"/>
      <x:c r="Q458" s="30"/>
      <x:c r="R458" s="34" t="str">
        <x:f>IF(AND($B458&lt;&gt;"",$G458&lt;&gt;"Done",$G458&lt;&gt;"Canceled",OR($L458="Yes",$H458&lt;=TODAY()+1,$F458="P0 Critical",$F458="P1 High",$G458="Blocked",$G458="Waiting on Others")),COUNT($R$5:R457)+1,"")</x:f>
      </x:c>
      <x:c r="S458" s="34" t="str">
        <x:f>IF(AND($B458&lt;&gt;"",$G458&lt;&gt;"Done",$G458&lt;&gt;"Canceled",OR($M458="Yes",$G458="Blocked",$G458="Waiting on Others")),COUNT($S$5:S457)+1,"")</x:f>
      </x:c>
    </x:row>
    <x:row r="459">
      <x:c r="A459" s="30"/>
      <x:c r="B459" s="30"/>
      <x:c r="C459" s="30"/>
      <x:c r="D459" s="30"/>
      <x:c r="E459" s="30"/>
      <x:c r="F459" s="30"/>
      <x:c r="G459" s="30"/>
      <x:c r="H459" s="31"/>
      <x:c r="I459" s="32"/>
      <x:c r="J459" s="33"/>
      <x:c r="K459" s="30"/>
      <x:c r="L459" s="30"/>
      <x:c r="M459" s="30"/>
      <x:c r="N459" s="30"/>
      <x:c r="O459" s="31"/>
      <x:c r="P459" s="30"/>
      <x:c r="Q459" s="30"/>
      <x:c r="R459" s="34" t="str">
        <x:f>IF(AND($B459&lt;&gt;"",$G459&lt;&gt;"Done",$G459&lt;&gt;"Canceled",OR($L459="Yes",$H459&lt;=TODAY()+1,$F459="P0 Critical",$F459="P1 High",$G459="Blocked",$G459="Waiting on Others")),COUNT($R$5:R458)+1,"")</x:f>
      </x:c>
      <x:c r="S459" s="34" t="str">
        <x:f>IF(AND($B459&lt;&gt;"",$G459&lt;&gt;"Done",$G459&lt;&gt;"Canceled",OR($M459="Yes",$G459="Blocked",$G459="Waiting on Others")),COUNT($S$5:S458)+1,"")</x:f>
      </x:c>
    </x:row>
    <x:row r="460">
      <x:c r="A460" s="30"/>
      <x:c r="B460" s="30"/>
      <x:c r="C460" s="30"/>
      <x:c r="D460" s="30"/>
      <x:c r="E460" s="30"/>
      <x:c r="F460" s="30"/>
      <x:c r="G460" s="30"/>
      <x:c r="H460" s="31"/>
      <x:c r="I460" s="32"/>
      <x:c r="J460" s="33"/>
      <x:c r="K460" s="30"/>
      <x:c r="L460" s="30"/>
      <x:c r="M460" s="30"/>
      <x:c r="N460" s="30"/>
      <x:c r="O460" s="31"/>
      <x:c r="P460" s="30"/>
      <x:c r="Q460" s="30"/>
      <x:c r="R460" s="34" t="str">
        <x:f>IF(AND($B460&lt;&gt;"",$G460&lt;&gt;"Done",$G460&lt;&gt;"Canceled",OR($L460="Yes",$H460&lt;=TODAY()+1,$F460="P0 Critical",$F460="P1 High",$G460="Blocked",$G460="Waiting on Others")),COUNT($R$5:R459)+1,"")</x:f>
      </x:c>
      <x:c r="S460" s="34" t="str">
        <x:f>IF(AND($B460&lt;&gt;"",$G460&lt;&gt;"Done",$G460&lt;&gt;"Canceled",OR($M460="Yes",$G460="Blocked",$G460="Waiting on Others")),COUNT($S$5:S459)+1,"")</x:f>
      </x:c>
    </x:row>
    <x:row r="461">
      <x:c r="A461" s="30"/>
      <x:c r="B461" s="30"/>
      <x:c r="C461" s="30"/>
      <x:c r="D461" s="30"/>
      <x:c r="E461" s="30"/>
      <x:c r="F461" s="30"/>
      <x:c r="G461" s="30"/>
      <x:c r="H461" s="31"/>
      <x:c r="I461" s="32"/>
      <x:c r="J461" s="33"/>
      <x:c r="K461" s="30"/>
      <x:c r="L461" s="30"/>
      <x:c r="M461" s="30"/>
      <x:c r="N461" s="30"/>
      <x:c r="O461" s="31"/>
      <x:c r="P461" s="30"/>
      <x:c r="Q461" s="30"/>
      <x:c r="R461" s="34" t="str">
        <x:f>IF(AND($B461&lt;&gt;"",$G461&lt;&gt;"Done",$G461&lt;&gt;"Canceled",OR($L461="Yes",$H461&lt;=TODAY()+1,$F461="P0 Critical",$F461="P1 High",$G461="Blocked",$G461="Waiting on Others")),COUNT($R$5:R460)+1,"")</x:f>
      </x:c>
      <x:c r="S461" s="34" t="str">
        <x:f>IF(AND($B461&lt;&gt;"",$G461&lt;&gt;"Done",$G461&lt;&gt;"Canceled",OR($M461="Yes",$G461="Blocked",$G461="Waiting on Others")),COUNT($S$5:S460)+1,"")</x:f>
      </x:c>
    </x:row>
    <x:row r="462">
      <x:c r="A462" s="30"/>
      <x:c r="B462" s="30"/>
      <x:c r="C462" s="30"/>
      <x:c r="D462" s="30"/>
      <x:c r="E462" s="30"/>
      <x:c r="F462" s="30"/>
      <x:c r="G462" s="30"/>
      <x:c r="H462" s="31"/>
      <x:c r="I462" s="32"/>
      <x:c r="J462" s="33"/>
      <x:c r="K462" s="30"/>
      <x:c r="L462" s="30"/>
      <x:c r="M462" s="30"/>
      <x:c r="N462" s="30"/>
      <x:c r="O462" s="31"/>
      <x:c r="P462" s="30"/>
      <x:c r="Q462" s="30"/>
      <x:c r="R462" s="34" t="str">
        <x:f>IF(AND($B462&lt;&gt;"",$G462&lt;&gt;"Done",$G462&lt;&gt;"Canceled",OR($L462="Yes",$H462&lt;=TODAY()+1,$F462="P0 Critical",$F462="P1 High",$G462="Blocked",$G462="Waiting on Others")),COUNT($R$5:R461)+1,"")</x:f>
      </x:c>
      <x:c r="S462" s="34" t="str">
        <x:f>IF(AND($B462&lt;&gt;"",$G462&lt;&gt;"Done",$G462&lt;&gt;"Canceled",OR($M462="Yes",$G462="Blocked",$G462="Waiting on Others")),COUNT($S$5:S461)+1,"")</x:f>
      </x:c>
    </x:row>
    <x:row r="463">
      <x:c r="A463" s="30"/>
      <x:c r="B463" s="30"/>
      <x:c r="C463" s="30"/>
      <x:c r="D463" s="30"/>
      <x:c r="E463" s="30"/>
      <x:c r="F463" s="30"/>
      <x:c r="G463" s="30"/>
      <x:c r="H463" s="31"/>
      <x:c r="I463" s="32"/>
      <x:c r="J463" s="33"/>
      <x:c r="K463" s="30"/>
      <x:c r="L463" s="30"/>
      <x:c r="M463" s="30"/>
      <x:c r="N463" s="30"/>
      <x:c r="O463" s="31"/>
      <x:c r="P463" s="30"/>
      <x:c r="Q463" s="30"/>
      <x:c r="R463" s="34" t="str">
        <x:f>IF(AND($B463&lt;&gt;"",$G463&lt;&gt;"Done",$G463&lt;&gt;"Canceled",OR($L463="Yes",$H463&lt;=TODAY()+1,$F463="P0 Critical",$F463="P1 High",$G463="Blocked",$G463="Waiting on Others")),COUNT($R$5:R462)+1,"")</x:f>
      </x:c>
      <x:c r="S463" s="34" t="str">
        <x:f>IF(AND($B463&lt;&gt;"",$G463&lt;&gt;"Done",$G463&lt;&gt;"Canceled",OR($M463="Yes",$G463="Blocked",$G463="Waiting on Others")),COUNT($S$5:S462)+1,"")</x:f>
      </x:c>
    </x:row>
    <x:row r="464">
      <x:c r="A464" s="30"/>
      <x:c r="B464" s="30"/>
      <x:c r="C464" s="30"/>
      <x:c r="D464" s="30"/>
      <x:c r="E464" s="30"/>
      <x:c r="F464" s="30"/>
      <x:c r="G464" s="30"/>
      <x:c r="H464" s="31"/>
      <x:c r="I464" s="32"/>
      <x:c r="J464" s="33"/>
      <x:c r="K464" s="30"/>
      <x:c r="L464" s="30"/>
      <x:c r="M464" s="30"/>
      <x:c r="N464" s="30"/>
      <x:c r="O464" s="31"/>
      <x:c r="P464" s="30"/>
      <x:c r="Q464" s="30"/>
      <x:c r="R464" s="34" t="str">
        <x:f>IF(AND($B464&lt;&gt;"",$G464&lt;&gt;"Done",$G464&lt;&gt;"Canceled",OR($L464="Yes",$H464&lt;=TODAY()+1,$F464="P0 Critical",$F464="P1 High",$G464="Blocked",$G464="Waiting on Others")),COUNT($R$5:R463)+1,"")</x:f>
      </x:c>
      <x:c r="S464" s="34" t="str">
        <x:f>IF(AND($B464&lt;&gt;"",$G464&lt;&gt;"Done",$G464&lt;&gt;"Canceled",OR($M464="Yes",$G464="Blocked",$G464="Waiting on Others")),COUNT($S$5:S463)+1,"")</x:f>
      </x:c>
    </x:row>
    <x:row r="465">
      <x:c r="A465" s="30"/>
      <x:c r="B465" s="30"/>
      <x:c r="C465" s="30"/>
      <x:c r="D465" s="30"/>
      <x:c r="E465" s="30"/>
      <x:c r="F465" s="30"/>
      <x:c r="G465" s="30"/>
      <x:c r="H465" s="31"/>
      <x:c r="I465" s="32"/>
      <x:c r="J465" s="33"/>
      <x:c r="K465" s="30"/>
      <x:c r="L465" s="30"/>
      <x:c r="M465" s="30"/>
      <x:c r="N465" s="30"/>
      <x:c r="O465" s="31"/>
      <x:c r="P465" s="30"/>
      <x:c r="Q465" s="30"/>
      <x:c r="R465" s="34" t="str">
        <x:f>IF(AND($B465&lt;&gt;"",$G465&lt;&gt;"Done",$G465&lt;&gt;"Canceled",OR($L465="Yes",$H465&lt;=TODAY()+1,$F465="P0 Critical",$F465="P1 High",$G465="Blocked",$G465="Waiting on Others")),COUNT($R$5:R464)+1,"")</x:f>
      </x:c>
      <x:c r="S465" s="34" t="str">
        <x:f>IF(AND($B465&lt;&gt;"",$G465&lt;&gt;"Done",$G465&lt;&gt;"Canceled",OR($M465="Yes",$G465="Blocked",$G465="Waiting on Others")),COUNT($S$5:S464)+1,"")</x:f>
      </x:c>
    </x:row>
    <x:row r="466">
      <x:c r="A466" s="30"/>
      <x:c r="B466" s="30"/>
      <x:c r="C466" s="30"/>
      <x:c r="D466" s="30"/>
      <x:c r="E466" s="30"/>
      <x:c r="F466" s="30"/>
      <x:c r="G466" s="30"/>
      <x:c r="H466" s="31"/>
      <x:c r="I466" s="32"/>
      <x:c r="J466" s="33"/>
      <x:c r="K466" s="30"/>
      <x:c r="L466" s="30"/>
      <x:c r="M466" s="30"/>
      <x:c r="N466" s="30"/>
      <x:c r="O466" s="31"/>
      <x:c r="P466" s="30"/>
      <x:c r="Q466" s="30"/>
      <x:c r="R466" s="34" t="str">
        <x:f>IF(AND($B466&lt;&gt;"",$G466&lt;&gt;"Done",$G466&lt;&gt;"Canceled",OR($L466="Yes",$H466&lt;=TODAY()+1,$F466="P0 Critical",$F466="P1 High",$G466="Blocked",$G466="Waiting on Others")),COUNT($R$5:R465)+1,"")</x:f>
      </x:c>
      <x:c r="S466" s="34" t="str">
        <x:f>IF(AND($B466&lt;&gt;"",$G466&lt;&gt;"Done",$G466&lt;&gt;"Canceled",OR($M466="Yes",$G466="Blocked",$G466="Waiting on Others")),COUNT($S$5:S465)+1,"")</x:f>
      </x:c>
    </x:row>
    <x:row r="467">
      <x:c r="A467" s="30"/>
      <x:c r="B467" s="30"/>
      <x:c r="C467" s="30"/>
      <x:c r="D467" s="30"/>
      <x:c r="E467" s="30"/>
      <x:c r="F467" s="30"/>
      <x:c r="G467" s="30"/>
      <x:c r="H467" s="31"/>
      <x:c r="I467" s="32"/>
      <x:c r="J467" s="33"/>
      <x:c r="K467" s="30"/>
      <x:c r="L467" s="30"/>
      <x:c r="M467" s="30"/>
      <x:c r="N467" s="30"/>
      <x:c r="O467" s="31"/>
      <x:c r="P467" s="30"/>
      <x:c r="Q467" s="30"/>
      <x:c r="R467" s="34" t="str">
        <x:f>IF(AND($B467&lt;&gt;"",$G467&lt;&gt;"Done",$G467&lt;&gt;"Canceled",OR($L467="Yes",$H467&lt;=TODAY()+1,$F467="P0 Critical",$F467="P1 High",$G467="Blocked",$G467="Waiting on Others")),COUNT($R$5:R466)+1,"")</x:f>
      </x:c>
      <x:c r="S467" s="34" t="str">
        <x:f>IF(AND($B467&lt;&gt;"",$G467&lt;&gt;"Done",$G467&lt;&gt;"Canceled",OR($M467="Yes",$G467="Blocked",$G467="Waiting on Others")),COUNT($S$5:S466)+1,"")</x:f>
      </x:c>
    </x:row>
    <x:row r="468">
      <x:c r="A468" s="30"/>
      <x:c r="B468" s="30"/>
      <x:c r="C468" s="30"/>
      <x:c r="D468" s="30"/>
      <x:c r="E468" s="30"/>
      <x:c r="F468" s="30"/>
      <x:c r="G468" s="30"/>
      <x:c r="H468" s="31"/>
      <x:c r="I468" s="32"/>
      <x:c r="J468" s="33"/>
      <x:c r="K468" s="30"/>
      <x:c r="L468" s="30"/>
      <x:c r="M468" s="30"/>
      <x:c r="N468" s="30"/>
      <x:c r="O468" s="31"/>
      <x:c r="P468" s="30"/>
      <x:c r="Q468" s="30"/>
      <x:c r="R468" s="34" t="str">
        <x:f>IF(AND($B468&lt;&gt;"",$G468&lt;&gt;"Done",$G468&lt;&gt;"Canceled",OR($L468="Yes",$H468&lt;=TODAY()+1,$F468="P0 Critical",$F468="P1 High",$G468="Blocked",$G468="Waiting on Others")),COUNT($R$5:R467)+1,"")</x:f>
      </x:c>
      <x:c r="S468" s="34" t="str">
        <x:f>IF(AND($B468&lt;&gt;"",$G468&lt;&gt;"Done",$G468&lt;&gt;"Canceled",OR($M468="Yes",$G468="Blocked",$G468="Waiting on Others")),COUNT($S$5:S467)+1,"")</x:f>
      </x:c>
    </x:row>
    <x:row r="469">
      <x:c r="A469" s="30"/>
      <x:c r="B469" s="30"/>
      <x:c r="C469" s="30"/>
      <x:c r="D469" s="30"/>
      <x:c r="E469" s="30"/>
      <x:c r="F469" s="30"/>
      <x:c r="G469" s="30"/>
      <x:c r="H469" s="31"/>
      <x:c r="I469" s="32"/>
      <x:c r="J469" s="33"/>
      <x:c r="K469" s="30"/>
      <x:c r="L469" s="30"/>
      <x:c r="M469" s="30"/>
      <x:c r="N469" s="30"/>
      <x:c r="O469" s="31"/>
      <x:c r="P469" s="30"/>
      <x:c r="Q469" s="30"/>
      <x:c r="R469" s="34" t="str">
        <x:f>IF(AND($B469&lt;&gt;"",$G469&lt;&gt;"Done",$G469&lt;&gt;"Canceled",OR($L469="Yes",$H469&lt;=TODAY()+1,$F469="P0 Critical",$F469="P1 High",$G469="Blocked",$G469="Waiting on Others")),COUNT($R$5:R468)+1,"")</x:f>
      </x:c>
      <x:c r="S469" s="34" t="str">
        <x:f>IF(AND($B469&lt;&gt;"",$G469&lt;&gt;"Done",$G469&lt;&gt;"Canceled",OR($M469="Yes",$G469="Blocked",$G469="Waiting on Others")),COUNT($S$5:S468)+1,"")</x:f>
      </x:c>
    </x:row>
    <x:row r="470">
      <x:c r="A470" s="30"/>
      <x:c r="B470" s="30"/>
      <x:c r="C470" s="30"/>
      <x:c r="D470" s="30"/>
      <x:c r="E470" s="30"/>
      <x:c r="F470" s="30"/>
      <x:c r="G470" s="30"/>
      <x:c r="H470" s="31"/>
      <x:c r="I470" s="32"/>
      <x:c r="J470" s="33"/>
      <x:c r="K470" s="30"/>
      <x:c r="L470" s="30"/>
      <x:c r="M470" s="30"/>
      <x:c r="N470" s="30"/>
      <x:c r="O470" s="31"/>
      <x:c r="P470" s="30"/>
      <x:c r="Q470" s="30"/>
      <x:c r="R470" s="34" t="str">
        <x:f>IF(AND($B470&lt;&gt;"",$G470&lt;&gt;"Done",$G470&lt;&gt;"Canceled",OR($L470="Yes",$H470&lt;=TODAY()+1,$F470="P0 Critical",$F470="P1 High",$G470="Blocked",$G470="Waiting on Others")),COUNT($R$5:R469)+1,"")</x:f>
      </x:c>
      <x:c r="S470" s="34" t="str">
        <x:f>IF(AND($B470&lt;&gt;"",$G470&lt;&gt;"Done",$G470&lt;&gt;"Canceled",OR($M470="Yes",$G470="Blocked",$G470="Waiting on Others")),COUNT($S$5:S469)+1,"")</x:f>
      </x:c>
    </x:row>
    <x:row r="471">
      <x:c r="A471" s="30"/>
      <x:c r="B471" s="30"/>
      <x:c r="C471" s="30"/>
      <x:c r="D471" s="30"/>
      <x:c r="E471" s="30"/>
      <x:c r="F471" s="30"/>
      <x:c r="G471" s="30"/>
      <x:c r="H471" s="31"/>
      <x:c r="I471" s="32"/>
      <x:c r="J471" s="33"/>
      <x:c r="K471" s="30"/>
      <x:c r="L471" s="30"/>
      <x:c r="M471" s="30"/>
      <x:c r="N471" s="30"/>
      <x:c r="O471" s="31"/>
      <x:c r="P471" s="30"/>
      <x:c r="Q471" s="30"/>
      <x:c r="R471" s="34" t="str">
        <x:f>IF(AND($B471&lt;&gt;"",$G471&lt;&gt;"Done",$G471&lt;&gt;"Canceled",OR($L471="Yes",$H471&lt;=TODAY()+1,$F471="P0 Critical",$F471="P1 High",$G471="Blocked",$G471="Waiting on Others")),COUNT($R$5:R470)+1,"")</x:f>
      </x:c>
      <x:c r="S471" s="34" t="str">
        <x:f>IF(AND($B471&lt;&gt;"",$G471&lt;&gt;"Done",$G471&lt;&gt;"Canceled",OR($M471="Yes",$G471="Blocked",$G471="Waiting on Others")),COUNT($S$5:S470)+1,"")</x:f>
      </x:c>
    </x:row>
    <x:row r="472">
      <x:c r="A472" s="30"/>
      <x:c r="B472" s="30"/>
      <x:c r="C472" s="30"/>
      <x:c r="D472" s="30"/>
      <x:c r="E472" s="30"/>
      <x:c r="F472" s="30"/>
      <x:c r="G472" s="30"/>
      <x:c r="H472" s="31"/>
      <x:c r="I472" s="32"/>
      <x:c r="J472" s="33"/>
      <x:c r="K472" s="30"/>
      <x:c r="L472" s="30"/>
      <x:c r="M472" s="30"/>
      <x:c r="N472" s="30"/>
      <x:c r="O472" s="31"/>
      <x:c r="P472" s="30"/>
      <x:c r="Q472" s="30"/>
      <x:c r="R472" s="34" t="str">
        <x:f>IF(AND($B472&lt;&gt;"",$G472&lt;&gt;"Done",$G472&lt;&gt;"Canceled",OR($L472="Yes",$H472&lt;=TODAY()+1,$F472="P0 Critical",$F472="P1 High",$G472="Blocked",$G472="Waiting on Others")),COUNT($R$5:R471)+1,"")</x:f>
      </x:c>
      <x:c r="S472" s="34" t="str">
        <x:f>IF(AND($B472&lt;&gt;"",$G472&lt;&gt;"Done",$G472&lt;&gt;"Canceled",OR($M472="Yes",$G472="Blocked",$G472="Waiting on Others")),COUNT($S$5:S471)+1,"")</x:f>
      </x:c>
    </x:row>
    <x:row r="473">
      <x:c r="A473" s="30"/>
      <x:c r="B473" s="30"/>
      <x:c r="C473" s="30"/>
      <x:c r="D473" s="30"/>
      <x:c r="E473" s="30"/>
      <x:c r="F473" s="30"/>
      <x:c r="G473" s="30"/>
      <x:c r="H473" s="31"/>
      <x:c r="I473" s="32"/>
      <x:c r="J473" s="33"/>
      <x:c r="K473" s="30"/>
      <x:c r="L473" s="30"/>
      <x:c r="M473" s="30"/>
      <x:c r="N473" s="30"/>
      <x:c r="O473" s="31"/>
      <x:c r="P473" s="30"/>
      <x:c r="Q473" s="30"/>
      <x:c r="R473" s="34" t="str">
        <x:f>IF(AND($B473&lt;&gt;"",$G473&lt;&gt;"Done",$G473&lt;&gt;"Canceled",OR($L473="Yes",$H473&lt;=TODAY()+1,$F473="P0 Critical",$F473="P1 High",$G473="Blocked",$G473="Waiting on Others")),COUNT($R$5:R472)+1,"")</x:f>
      </x:c>
      <x:c r="S473" s="34" t="str">
        <x:f>IF(AND($B473&lt;&gt;"",$G473&lt;&gt;"Done",$G473&lt;&gt;"Canceled",OR($M473="Yes",$G473="Blocked",$G473="Waiting on Others")),COUNT($S$5:S472)+1,"")</x:f>
      </x:c>
    </x:row>
    <x:row r="474">
      <x:c r="A474" s="30"/>
      <x:c r="B474" s="30"/>
      <x:c r="C474" s="30"/>
      <x:c r="D474" s="30"/>
      <x:c r="E474" s="30"/>
      <x:c r="F474" s="30"/>
      <x:c r="G474" s="30"/>
      <x:c r="H474" s="31"/>
      <x:c r="I474" s="32"/>
      <x:c r="J474" s="33"/>
      <x:c r="K474" s="30"/>
      <x:c r="L474" s="30"/>
      <x:c r="M474" s="30"/>
      <x:c r="N474" s="30"/>
      <x:c r="O474" s="31"/>
      <x:c r="P474" s="30"/>
      <x:c r="Q474" s="30"/>
      <x:c r="R474" s="34" t="str">
        <x:f>IF(AND($B474&lt;&gt;"",$G474&lt;&gt;"Done",$G474&lt;&gt;"Canceled",OR($L474="Yes",$H474&lt;=TODAY()+1,$F474="P0 Critical",$F474="P1 High",$G474="Blocked",$G474="Waiting on Others")),COUNT($R$5:R473)+1,"")</x:f>
      </x:c>
      <x:c r="S474" s="34" t="str">
        <x:f>IF(AND($B474&lt;&gt;"",$G474&lt;&gt;"Done",$G474&lt;&gt;"Canceled",OR($M474="Yes",$G474="Blocked",$G474="Waiting on Others")),COUNT($S$5:S473)+1,"")</x:f>
      </x:c>
    </x:row>
    <x:row r="475">
      <x:c r="A475" s="30"/>
      <x:c r="B475" s="30"/>
      <x:c r="C475" s="30"/>
      <x:c r="D475" s="30"/>
      <x:c r="E475" s="30"/>
      <x:c r="F475" s="30"/>
      <x:c r="G475" s="30"/>
      <x:c r="H475" s="31"/>
      <x:c r="I475" s="32"/>
      <x:c r="J475" s="33"/>
      <x:c r="K475" s="30"/>
      <x:c r="L475" s="30"/>
      <x:c r="M475" s="30"/>
      <x:c r="N475" s="30"/>
      <x:c r="O475" s="31"/>
      <x:c r="P475" s="30"/>
      <x:c r="Q475" s="30"/>
      <x:c r="R475" s="34" t="str">
        <x:f>IF(AND($B475&lt;&gt;"",$G475&lt;&gt;"Done",$G475&lt;&gt;"Canceled",OR($L475="Yes",$H475&lt;=TODAY()+1,$F475="P0 Critical",$F475="P1 High",$G475="Blocked",$G475="Waiting on Others")),COUNT($R$5:R474)+1,"")</x:f>
      </x:c>
      <x:c r="S475" s="34" t="str">
        <x:f>IF(AND($B475&lt;&gt;"",$G475&lt;&gt;"Done",$G475&lt;&gt;"Canceled",OR($M475="Yes",$G475="Blocked",$G475="Waiting on Others")),COUNT($S$5:S474)+1,"")</x:f>
      </x:c>
    </x:row>
    <x:row r="476">
      <x:c r="A476" s="30"/>
      <x:c r="B476" s="30"/>
      <x:c r="C476" s="30"/>
      <x:c r="D476" s="30"/>
      <x:c r="E476" s="30"/>
      <x:c r="F476" s="30"/>
      <x:c r="G476" s="30"/>
      <x:c r="H476" s="31"/>
      <x:c r="I476" s="32"/>
      <x:c r="J476" s="33"/>
      <x:c r="K476" s="30"/>
      <x:c r="L476" s="30"/>
      <x:c r="M476" s="30"/>
      <x:c r="N476" s="30"/>
      <x:c r="O476" s="31"/>
      <x:c r="P476" s="30"/>
      <x:c r="Q476" s="30"/>
      <x:c r="R476" s="34" t="str">
        <x:f>IF(AND($B476&lt;&gt;"",$G476&lt;&gt;"Done",$G476&lt;&gt;"Canceled",OR($L476="Yes",$H476&lt;=TODAY()+1,$F476="P0 Critical",$F476="P1 High",$G476="Blocked",$G476="Waiting on Others")),COUNT($R$5:R475)+1,"")</x:f>
      </x:c>
      <x:c r="S476" s="34" t="str">
        <x:f>IF(AND($B476&lt;&gt;"",$G476&lt;&gt;"Done",$G476&lt;&gt;"Canceled",OR($M476="Yes",$G476="Blocked",$G476="Waiting on Others")),COUNT($S$5:S475)+1,"")</x:f>
      </x:c>
    </x:row>
    <x:row r="477">
      <x:c r="A477" s="30"/>
      <x:c r="B477" s="30"/>
      <x:c r="C477" s="30"/>
      <x:c r="D477" s="30"/>
      <x:c r="E477" s="30"/>
      <x:c r="F477" s="30"/>
      <x:c r="G477" s="30"/>
      <x:c r="H477" s="31"/>
      <x:c r="I477" s="32"/>
      <x:c r="J477" s="33"/>
      <x:c r="K477" s="30"/>
      <x:c r="L477" s="30"/>
      <x:c r="M477" s="30"/>
      <x:c r="N477" s="30"/>
      <x:c r="O477" s="31"/>
      <x:c r="P477" s="30"/>
      <x:c r="Q477" s="30"/>
      <x:c r="R477" s="34" t="str">
        <x:f>IF(AND($B477&lt;&gt;"",$G477&lt;&gt;"Done",$G477&lt;&gt;"Canceled",OR($L477="Yes",$H477&lt;=TODAY()+1,$F477="P0 Critical",$F477="P1 High",$G477="Blocked",$G477="Waiting on Others")),COUNT($R$5:R476)+1,"")</x:f>
      </x:c>
      <x:c r="S477" s="34" t="str">
        <x:f>IF(AND($B477&lt;&gt;"",$G477&lt;&gt;"Done",$G477&lt;&gt;"Canceled",OR($M477="Yes",$G477="Blocked",$G477="Waiting on Others")),COUNT($S$5:S476)+1,"")</x:f>
      </x:c>
    </x:row>
    <x:row r="478">
      <x:c r="A478" s="30"/>
      <x:c r="B478" s="30"/>
      <x:c r="C478" s="30"/>
      <x:c r="D478" s="30"/>
      <x:c r="E478" s="30"/>
      <x:c r="F478" s="30"/>
      <x:c r="G478" s="30"/>
      <x:c r="H478" s="31"/>
      <x:c r="I478" s="32"/>
      <x:c r="J478" s="33"/>
      <x:c r="K478" s="30"/>
      <x:c r="L478" s="30"/>
      <x:c r="M478" s="30"/>
      <x:c r="N478" s="30"/>
      <x:c r="O478" s="31"/>
      <x:c r="P478" s="30"/>
      <x:c r="Q478" s="30"/>
      <x:c r="R478" s="34" t="str">
        <x:f>IF(AND($B478&lt;&gt;"",$G478&lt;&gt;"Done",$G478&lt;&gt;"Canceled",OR($L478="Yes",$H478&lt;=TODAY()+1,$F478="P0 Critical",$F478="P1 High",$G478="Blocked",$G478="Waiting on Others")),COUNT($R$5:R477)+1,"")</x:f>
      </x:c>
      <x:c r="S478" s="34" t="str">
        <x:f>IF(AND($B478&lt;&gt;"",$G478&lt;&gt;"Done",$G478&lt;&gt;"Canceled",OR($M478="Yes",$G478="Blocked",$G478="Waiting on Others")),COUNT($S$5:S477)+1,"")</x:f>
      </x:c>
    </x:row>
    <x:row r="479">
      <x:c r="A479" s="30"/>
      <x:c r="B479" s="30"/>
      <x:c r="C479" s="30"/>
      <x:c r="D479" s="30"/>
      <x:c r="E479" s="30"/>
      <x:c r="F479" s="30"/>
      <x:c r="G479" s="30"/>
      <x:c r="H479" s="31"/>
      <x:c r="I479" s="32"/>
      <x:c r="J479" s="33"/>
      <x:c r="K479" s="30"/>
      <x:c r="L479" s="30"/>
      <x:c r="M479" s="30"/>
      <x:c r="N479" s="30"/>
      <x:c r="O479" s="31"/>
      <x:c r="P479" s="30"/>
      <x:c r="Q479" s="30"/>
      <x:c r="R479" s="34" t="str">
        <x:f>IF(AND($B479&lt;&gt;"",$G479&lt;&gt;"Done",$G479&lt;&gt;"Canceled",OR($L479="Yes",$H479&lt;=TODAY()+1,$F479="P0 Critical",$F479="P1 High",$G479="Blocked",$G479="Waiting on Others")),COUNT($R$5:R478)+1,"")</x:f>
      </x:c>
      <x:c r="S479" s="34" t="str">
        <x:f>IF(AND($B479&lt;&gt;"",$G479&lt;&gt;"Done",$G479&lt;&gt;"Canceled",OR($M479="Yes",$G479="Blocked",$G479="Waiting on Others")),COUNT($S$5:S478)+1,"")</x:f>
      </x:c>
    </x:row>
    <x:row r="480">
      <x:c r="A480" s="30"/>
      <x:c r="B480" s="30"/>
      <x:c r="C480" s="30"/>
      <x:c r="D480" s="30"/>
      <x:c r="E480" s="30"/>
      <x:c r="F480" s="30"/>
      <x:c r="G480" s="30"/>
      <x:c r="H480" s="31"/>
      <x:c r="I480" s="32"/>
      <x:c r="J480" s="33"/>
      <x:c r="K480" s="30"/>
      <x:c r="L480" s="30"/>
      <x:c r="M480" s="30"/>
      <x:c r="N480" s="30"/>
      <x:c r="O480" s="31"/>
      <x:c r="P480" s="30"/>
      <x:c r="Q480" s="30"/>
      <x:c r="R480" s="34" t="str">
        <x:f>IF(AND($B480&lt;&gt;"",$G480&lt;&gt;"Done",$G480&lt;&gt;"Canceled",OR($L480="Yes",$H480&lt;=TODAY()+1,$F480="P0 Critical",$F480="P1 High",$G480="Blocked",$G480="Waiting on Others")),COUNT($R$5:R479)+1,"")</x:f>
      </x:c>
      <x:c r="S480" s="34" t="str">
        <x:f>IF(AND($B480&lt;&gt;"",$G480&lt;&gt;"Done",$G480&lt;&gt;"Canceled",OR($M480="Yes",$G480="Blocked",$G480="Waiting on Others")),COUNT($S$5:S479)+1,"")</x:f>
      </x:c>
    </x:row>
    <x:row r="481">
      <x:c r="A481" s="30"/>
      <x:c r="B481" s="30"/>
      <x:c r="C481" s="30"/>
      <x:c r="D481" s="30"/>
      <x:c r="E481" s="30"/>
      <x:c r="F481" s="30"/>
      <x:c r="G481" s="30"/>
      <x:c r="H481" s="31"/>
      <x:c r="I481" s="32"/>
      <x:c r="J481" s="33"/>
      <x:c r="K481" s="30"/>
      <x:c r="L481" s="30"/>
      <x:c r="M481" s="30"/>
      <x:c r="N481" s="30"/>
      <x:c r="O481" s="31"/>
      <x:c r="P481" s="30"/>
      <x:c r="Q481" s="30"/>
      <x:c r="R481" s="34" t="str">
        <x:f>IF(AND($B481&lt;&gt;"",$G481&lt;&gt;"Done",$G481&lt;&gt;"Canceled",OR($L481="Yes",$H481&lt;=TODAY()+1,$F481="P0 Critical",$F481="P1 High",$G481="Blocked",$G481="Waiting on Others")),COUNT($R$5:R480)+1,"")</x:f>
      </x:c>
      <x:c r="S481" s="34" t="str">
        <x:f>IF(AND($B481&lt;&gt;"",$G481&lt;&gt;"Done",$G481&lt;&gt;"Canceled",OR($M481="Yes",$G481="Blocked",$G481="Waiting on Others")),COUNT($S$5:S480)+1,"")</x:f>
      </x:c>
    </x:row>
    <x:row r="482">
      <x:c r="A482" s="30"/>
      <x:c r="B482" s="30"/>
      <x:c r="C482" s="30"/>
      <x:c r="D482" s="30"/>
      <x:c r="E482" s="30"/>
      <x:c r="F482" s="30"/>
      <x:c r="G482" s="30"/>
      <x:c r="H482" s="31"/>
      <x:c r="I482" s="32"/>
      <x:c r="J482" s="33"/>
      <x:c r="K482" s="30"/>
      <x:c r="L482" s="30"/>
      <x:c r="M482" s="30"/>
      <x:c r="N482" s="30"/>
      <x:c r="O482" s="31"/>
      <x:c r="P482" s="30"/>
      <x:c r="Q482" s="30"/>
      <x:c r="R482" s="34" t="str">
        <x:f>IF(AND($B482&lt;&gt;"",$G482&lt;&gt;"Done",$G482&lt;&gt;"Canceled",OR($L482="Yes",$H482&lt;=TODAY()+1,$F482="P0 Critical",$F482="P1 High",$G482="Blocked",$G482="Waiting on Others")),COUNT($R$5:R481)+1,"")</x:f>
      </x:c>
      <x:c r="S482" s="34" t="str">
        <x:f>IF(AND($B482&lt;&gt;"",$G482&lt;&gt;"Done",$G482&lt;&gt;"Canceled",OR($M482="Yes",$G482="Blocked",$G482="Waiting on Others")),COUNT($S$5:S481)+1,"")</x:f>
      </x:c>
    </x:row>
    <x:row r="483">
      <x:c r="A483" s="30"/>
      <x:c r="B483" s="30"/>
      <x:c r="C483" s="30"/>
      <x:c r="D483" s="30"/>
      <x:c r="E483" s="30"/>
      <x:c r="F483" s="30"/>
      <x:c r="G483" s="30"/>
      <x:c r="H483" s="31"/>
      <x:c r="I483" s="32"/>
      <x:c r="J483" s="33"/>
      <x:c r="K483" s="30"/>
      <x:c r="L483" s="30"/>
      <x:c r="M483" s="30"/>
      <x:c r="N483" s="30"/>
      <x:c r="O483" s="31"/>
      <x:c r="P483" s="30"/>
      <x:c r="Q483" s="30"/>
      <x:c r="R483" s="34" t="str">
        <x:f>IF(AND($B483&lt;&gt;"",$G483&lt;&gt;"Done",$G483&lt;&gt;"Canceled",OR($L483="Yes",$H483&lt;=TODAY()+1,$F483="P0 Critical",$F483="P1 High",$G483="Blocked",$G483="Waiting on Others")),COUNT($R$5:R482)+1,"")</x:f>
      </x:c>
      <x:c r="S483" s="34" t="str">
        <x:f>IF(AND($B483&lt;&gt;"",$G483&lt;&gt;"Done",$G483&lt;&gt;"Canceled",OR($M483="Yes",$G483="Blocked",$G483="Waiting on Others")),COUNT($S$5:S482)+1,"")</x:f>
      </x:c>
    </x:row>
    <x:row r="484">
      <x:c r="A484" s="30"/>
      <x:c r="B484" s="30"/>
      <x:c r="C484" s="30"/>
      <x:c r="D484" s="30"/>
      <x:c r="E484" s="30"/>
      <x:c r="F484" s="30"/>
      <x:c r="G484" s="30"/>
      <x:c r="H484" s="31"/>
      <x:c r="I484" s="32"/>
      <x:c r="J484" s="33"/>
      <x:c r="K484" s="30"/>
      <x:c r="L484" s="30"/>
      <x:c r="M484" s="30"/>
      <x:c r="N484" s="30"/>
      <x:c r="O484" s="31"/>
      <x:c r="P484" s="30"/>
      <x:c r="Q484" s="30"/>
      <x:c r="R484" s="34" t="str">
        <x:f>IF(AND($B484&lt;&gt;"",$G484&lt;&gt;"Done",$G484&lt;&gt;"Canceled",OR($L484="Yes",$H484&lt;=TODAY()+1,$F484="P0 Critical",$F484="P1 High",$G484="Blocked",$G484="Waiting on Others")),COUNT($R$5:R483)+1,"")</x:f>
      </x:c>
      <x:c r="S484" s="34" t="str">
        <x:f>IF(AND($B484&lt;&gt;"",$G484&lt;&gt;"Done",$G484&lt;&gt;"Canceled",OR($M484="Yes",$G484="Blocked",$G484="Waiting on Others")),COUNT($S$5:S483)+1,"")</x:f>
      </x:c>
    </x:row>
    <x:row r="485">
      <x:c r="A485" s="30"/>
      <x:c r="B485" s="30"/>
      <x:c r="C485" s="30"/>
      <x:c r="D485" s="30"/>
      <x:c r="E485" s="30"/>
      <x:c r="F485" s="30"/>
      <x:c r="G485" s="30"/>
      <x:c r="H485" s="31"/>
      <x:c r="I485" s="32"/>
      <x:c r="J485" s="33"/>
      <x:c r="K485" s="30"/>
      <x:c r="L485" s="30"/>
      <x:c r="M485" s="30"/>
      <x:c r="N485" s="30"/>
      <x:c r="O485" s="31"/>
      <x:c r="P485" s="30"/>
      <x:c r="Q485" s="30"/>
      <x:c r="R485" s="34" t="str">
        <x:f>IF(AND($B485&lt;&gt;"",$G485&lt;&gt;"Done",$G485&lt;&gt;"Canceled",OR($L485="Yes",$H485&lt;=TODAY()+1,$F485="P0 Critical",$F485="P1 High",$G485="Blocked",$G485="Waiting on Others")),COUNT($R$5:R484)+1,"")</x:f>
      </x:c>
      <x:c r="S485" s="34" t="str">
        <x:f>IF(AND($B485&lt;&gt;"",$G485&lt;&gt;"Done",$G485&lt;&gt;"Canceled",OR($M485="Yes",$G485="Blocked",$G485="Waiting on Others")),COUNT($S$5:S484)+1,"")</x:f>
      </x:c>
    </x:row>
    <x:row r="486">
      <x:c r="A486" s="30"/>
      <x:c r="B486" s="30"/>
      <x:c r="C486" s="30"/>
      <x:c r="D486" s="30"/>
      <x:c r="E486" s="30"/>
      <x:c r="F486" s="30"/>
      <x:c r="G486" s="30"/>
      <x:c r="H486" s="31"/>
      <x:c r="I486" s="32"/>
      <x:c r="J486" s="33"/>
      <x:c r="K486" s="30"/>
      <x:c r="L486" s="30"/>
      <x:c r="M486" s="30"/>
      <x:c r="N486" s="30"/>
      <x:c r="O486" s="31"/>
      <x:c r="P486" s="30"/>
      <x:c r="Q486" s="30"/>
      <x:c r="R486" s="34" t="str">
        <x:f>IF(AND($B486&lt;&gt;"",$G486&lt;&gt;"Done",$G486&lt;&gt;"Canceled",OR($L486="Yes",$H486&lt;=TODAY()+1,$F486="P0 Critical",$F486="P1 High",$G486="Blocked",$G486="Waiting on Others")),COUNT($R$5:R485)+1,"")</x:f>
      </x:c>
      <x:c r="S486" s="34" t="str">
        <x:f>IF(AND($B486&lt;&gt;"",$G486&lt;&gt;"Done",$G486&lt;&gt;"Canceled",OR($M486="Yes",$G486="Blocked",$G486="Waiting on Others")),COUNT($S$5:S485)+1,"")</x:f>
      </x:c>
    </x:row>
    <x:row r="487">
      <x:c r="A487" s="30"/>
      <x:c r="B487" s="30"/>
      <x:c r="C487" s="30"/>
      <x:c r="D487" s="30"/>
      <x:c r="E487" s="30"/>
      <x:c r="F487" s="30"/>
      <x:c r="G487" s="30"/>
      <x:c r="H487" s="31"/>
      <x:c r="I487" s="32"/>
      <x:c r="J487" s="33"/>
      <x:c r="K487" s="30"/>
      <x:c r="L487" s="30"/>
      <x:c r="M487" s="30"/>
      <x:c r="N487" s="30"/>
      <x:c r="O487" s="31"/>
      <x:c r="P487" s="30"/>
      <x:c r="Q487" s="30"/>
      <x:c r="R487" s="34" t="str">
        <x:f>IF(AND($B487&lt;&gt;"",$G487&lt;&gt;"Done",$G487&lt;&gt;"Canceled",OR($L487="Yes",$H487&lt;=TODAY()+1,$F487="P0 Critical",$F487="P1 High",$G487="Blocked",$G487="Waiting on Others")),COUNT($R$5:R486)+1,"")</x:f>
      </x:c>
      <x:c r="S487" s="34" t="str">
        <x:f>IF(AND($B487&lt;&gt;"",$G487&lt;&gt;"Done",$G487&lt;&gt;"Canceled",OR($M487="Yes",$G487="Blocked",$G487="Waiting on Others")),COUNT($S$5:S486)+1,"")</x:f>
      </x:c>
    </x:row>
    <x:row r="488">
      <x:c r="A488" s="30"/>
      <x:c r="B488" s="30"/>
      <x:c r="C488" s="30"/>
      <x:c r="D488" s="30"/>
      <x:c r="E488" s="30"/>
      <x:c r="F488" s="30"/>
      <x:c r="G488" s="30"/>
      <x:c r="H488" s="31"/>
      <x:c r="I488" s="32"/>
      <x:c r="J488" s="33"/>
      <x:c r="K488" s="30"/>
      <x:c r="L488" s="30"/>
      <x:c r="M488" s="30"/>
      <x:c r="N488" s="30"/>
      <x:c r="O488" s="31"/>
      <x:c r="P488" s="30"/>
      <x:c r="Q488" s="30"/>
      <x:c r="R488" s="34" t="str">
        <x:f>IF(AND($B488&lt;&gt;"",$G488&lt;&gt;"Done",$G488&lt;&gt;"Canceled",OR($L488="Yes",$H488&lt;=TODAY()+1,$F488="P0 Critical",$F488="P1 High",$G488="Blocked",$G488="Waiting on Others")),COUNT($R$5:R487)+1,"")</x:f>
      </x:c>
      <x:c r="S488" s="34" t="str">
        <x:f>IF(AND($B488&lt;&gt;"",$G488&lt;&gt;"Done",$G488&lt;&gt;"Canceled",OR($M488="Yes",$G488="Blocked",$G488="Waiting on Others")),COUNT($S$5:S487)+1,"")</x:f>
      </x:c>
    </x:row>
    <x:row r="489">
      <x:c r="A489" s="30"/>
      <x:c r="B489" s="30"/>
      <x:c r="C489" s="30"/>
      <x:c r="D489" s="30"/>
      <x:c r="E489" s="30"/>
      <x:c r="F489" s="30"/>
      <x:c r="G489" s="30"/>
      <x:c r="H489" s="31"/>
      <x:c r="I489" s="32"/>
      <x:c r="J489" s="33"/>
      <x:c r="K489" s="30"/>
      <x:c r="L489" s="30"/>
      <x:c r="M489" s="30"/>
      <x:c r="N489" s="30"/>
      <x:c r="O489" s="31"/>
      <x:c r="P489" s="30"/>
      <x:c r="Q489" s="30"/>
      <x:c r="R489" s="34" t="str">
        <x:f>IF(AND($B489&lt;&gt;"",$G489&lt;&gt;"Done",$G489&lt;&gt;"Canceled",OR($L489="Yes",$H489&lt;=TODAY()+1,$F489="P0 Critical",$F489="P1 High",$G489="Blocked",$G489="Waiting on Others")),COUNT($R$5:R488)+1,"")</x:f>
      </x:c>
      <x:c r="S489" s="34" t="str">
        <x:f>IF(AND($B489&lt;&gt;"",$G489&lt;&gt;"Done",$G489&lt;&gt;"Canceled",OR($M489="Yes",$G489="Blocked",$G489="Waiting on Others")),COUNT($S$5:S488)+1,"")</x:f>
      </x:c>
    </x:row>
    <x:row r="490">
      <x:c r="A490" s="30"/>
      <x:c r="B490" s="30"/>
      <x:c r="C490" s="30"/>
      <x:c r="D490" s="30"/>
      <x:c r="E490" s="30"/>
      <x:c r="F490" s="30"/>
      <x:c r="G490" s="30"/>
      <x:c r="H490" s="31"/>
      <x:c r="I490" s="32"/>
      <x:c r="J490" s="33"/>
      <x:c r="K490" s="30"/>
      <x:c r="L490" s="30"/>
      <x:c r="M490" s="30"/>
      <x:c r="N490" s="30"/>
      <x:c r="O490" s="31"/>
      <x:c r="P490" s="30"/>
      <x:c r="Q490" s="30"/>
      <x:c r="R490" s="34" t="str">
        <x:f>IF(AND($B490&lt;&gt;"",$G490&lt;&gt;"Done",$G490&lt;&gt;"Canceled",OR($L490="Yes",$H490&lt;=TODAY()+1,$F490="P0 Critical",$F490="P1 High",$G490="Blocked",$G490="Waiting on Others")),COUNT($R$5:R489)+1,"")</x:f>
      </x:c>
      <x:c r="S490" s="34" t="str">
        <x:f>IF(AND($B490&lt;&gt;"",$G490&lt;&gt;"Done",$G490&lt;&gt;"Canceled",OR($M490="Yes",$G490="Blocked",$G490="Waiting on Others")),COUNT($S$5:S489)+1,"")</x:f>
      </x:c>
    </x:row>
    <x:row r="491">
      <x:c r="A491" s="30"/>
      <x:c r="B491" s="30"/>
      <x:c r="C491" s="30"/>
      <x:c r="D491" s="30"/>
      <x:c r="E491" s="30"/>
      <x:c r="F491" s="30"/>
      <x:c r="G491" s="30"/>
      <x:c r="H491" s="31"/>
      <x:c r="I491" s="32"/>
      <x:c r="J491" s="33"/>
      <x:c r="K491" s="30"/>
      <x:c r="L491" s="30"/>
      <x:c r="M491" s="30"/>
      <x:c r="N491" s="30"/>
      <x:c r="O491" s="31"/>
      <x:c r="P491" s="30"/>
      <x:c r="Q491" s="30"/>
      <x:c r="R491" s="34" t="str">
        <x:f>IF(AND($B491&lt;&gt;"",$G491&lt;&gt;"Done",$G491&lt;&gt;"Canceled",OR($L491="Yes",$H491&lt;=TODAY()+1,$F491="P0 Critical",$F491="P1 High",$G491="Blocked",$G491="Waiting on Others")),COUNT($R$5:R490)+1,"")</x:f>
      </x:c>
      <x:c r="S491" s="34" t="str">
        <x:f>IF(AND($B491&lt;&gt;"",$G491&lt;&gt;"Done",$G491&lt;&gt;"Canceled",OR($M491="Yes",$G491="Blocked",$G491="Waiting on Others")),COUNT($S$5:S490)+1,"")</x:f>
      </x:c>
    </x:row>
    <x:row r="492">
      <x:c r="A492" s="30"/>
      <x:c r="B492" s="30"/>
      <x:c r="C492" s="30"/>
      <x:c r="D492" s="30"/>
      <x:c r="E492" s="30"/>
      <x:c r="F492" s="30"/>
      <x:c r="G492" s="30"/>
      <x:c r="H492" s="31"/>
      <x:c r="I492" s="32"/>
      <x:c r="J492" s="33"/>
      <x:c r="K492" s="30"/>
      <x:c r="L492" s="30"/>
      <x:c r="M492" s="30"/>
      <x:c r="N492" s="30"/>
      <x:c r="O492" s="31"/>
      <x:c r="P492" s="30"/>
      <x:c r="Q492" s="30"/>
      <x:c r="R492" s="34" t="str">
        <x:f>IF(AND($B492&lt;&gt;"",$G492&lt;&gt;"Done",$G492&lt;&gt;"Canceled",OR($L492="Yes",$H492&lt;=TODAY()+1,$F492="P0 Critical",$F492="P1 High",$G492="Blocked",$G492="Waiting on Others")),COUNT($R$5:R491)+1,"")</x:f>
      </x:c>
      <x:c r="S492" s="34" t="str">
        <x:f>IF(AND($B492&lt;&gt;"",$G492&lt;&gt;"Done",$G492&lt;&gt;"Canceled",OR($M492="Yes",$G492="Blocked",$G492="Waiting on Others")),COUNT($S$5:S491)+1,"")</x:f>
      </x:c>
    </x:row>
    <x:row r="493">
      <x:c r="A493" s="30"/>
      <x:c r="B493" s="30"/>
      <x:c r="C493" s="30"/>
      <x:c r="D493" s="30"/>
      <x:c r="E493" s="30"/>
      <x:c r="F493" s="30"/>
      <x:c r="G493" s="30"/>
      <x:c r="H493" s="31"/>
      <x:c r="I493" s="32"/>
      <x:c r="J493" s="33"/>
      <x:c r="K493" s="30"/>
      <x:c r="L493" s="30"/>
      <x:c r="M493" s="30"/>
      <x:c r="N493" s="30"/>
      <x:c r="O493" s="31"/>
      <x:c r="P493" s="30"/>
      <x:c r="Q493" s="30"/>
      <x:c r="R493" s="34" t="str">
        <x:f>IF(AND($B493&lt;&gt;"",$G493&lt;&gt;"Done",$G493&lt;&gt;"Canceled",OR($L493="Yes",$H493&lt;=TODAY()+1,$F493="P0 Critical",$F493="P1 High",$G493="Blocked",$G493="Waiting on Others")),COUNT($R$5:R492)+1,"")</x:f>
      </x:c>
      <x:c r="S493" s="34" t="str">
        <x:f>IF(AND($B493&lt;&gt;"",$G493&lt;&gt;"Done",$G493&lt;&gt;"Canceled",OR($M493="Yes",$G493="Blocked",$G493="Waiting on Others")),COUNT($S$5:S492)+1,"")</x:f>
      </x:c>
    </x:row>
    <x:row r="494">
      <x:c r="A494" s="30"/>
      <x:c r="B494" s="30"/>
      <x:c r="C494" s="30"/>
      <x:c r="D494" s="30"/>
      <x:c r="E494" s="30"/>
      <x:c r="F494" s="30"/>
      <x:c r="G494" s="30"/>
      <x:c r="H494" s="31"/>
      <x:c r="I494" s="32"/>
      <x:c r="J494" s="33"/>
      <x:c r="K494" s="30"/>
      <x:c r="L494" s="30"/>
      <x:c r="M494" s="30"/>
      <x:c r="N494" s="30"/>
      <x:c r="O494" s="31"/>
      <x:c r="P494" s="30"/>
      <x:c r="Q494" s="30"/>
      <x:c r="R494" s="34" t="str">
        <x:f>IF(AND($B494&lt;&gt;"",$G494&lt;&gt;"Done",$G494&lt;&gt;"Canceled",OR($L494="Yes",$H494&lt;=TODAY()+1,$F494="P0 Critical",$F494="P1 High",$G494="Blocked",$G494="Waiting on Others")),COUNT($R$5:R493)+1,"")</x:f>
      </x:c>
      <x:c r="S494" s="34" t="str">
        <x:f>IF(AND($B494&lt;&gt;"",$G494&lt;&gt;"Done",$G494&lt;&gt;"Canceled",OR($M494="Yes",$G494="Blocked",$G494="Waiting on Others")),COUNT($S$5:S493)+1,"")</x:f>
      </x:c>
    </x:row>
    <x:row r="495">
      <x:c r="A495" s="30"/>
      <x:c r="B495" s="30"/>
      <x:c r="C495" s="30"/>
      <x:c r="D495" s="30"/>
      <x:c r="E495" s="30"/>
      <x:c r="F495" s="30"/>
      <x:c r="G495" s="30"/>
      <x:c r="H495" s="31"/>
      <x:c r="I495" s="32"/>
      <x:c r="J495" s="33"/>
      <x:c r="K495" s="30"/>
      <x:c r="L495" s="30"/>
      <x:c r="M495" s="30"/>
      <x:c r="N495" s="30"/>
      <x:c r="O495" s="31"/>
      <x:c r="P495" s="30"/>
      <x:c r="Q495" s="30"/>
      <x:c r="R495" s="34" t="str">
        <x:f>IF(AND($B495&lt;&gt;"",$G495&lt;&gt;"Done",$G495&lt;&gt;"Canceled",OR($L495="Yes",$H495&lt;=TODAY()+1,$F495="P0 Critical",$F495="P1 High",$G495="Blocked",$G495="Waiting on Others")),COUNT($R$5:R494)+1,"")</x:f>
      </x:c>
      <x:c r="S495" s="34" t="str">
        <x:f>IF(AND($B495&lt;&gt;"",$G495&lt;&gt;"Done",$G495&lt;&gt;"Canceled",OR($M495="Yes",$G495="Blocked",$G495="Waiting on Others")),COUNT($S$5:S494)+1,"")</x:f>
      </x:c>
    </x:row>
    <x:row r="496">
      <x:c r="A496" s="30"/>
      <x:c r="B496" s="30"/>
      <x:c r="C496" s="30"/>
      <x:c r="D496" s="30"/>
      <x:c r="E496" s="30"/>
      <x:c r="F496" s="30"/>
      <x:c r="G496" s="30"/>
      <x:c r="H496" s="31"/>
      <x:c r="I496" s="32"/>
      <x:c r="J496" s="33"/>
      <x:c r="K496" s="30"/>
      <x:c r="L496" s="30"/>
      <x:c r="M496" s="30"/>
      <x:c r="N496" s="30"/>
      <x:c r="O496" s="31"/>
      <x:c r="P496" s="30"/>
      <x:c r="Q496" s="30"/>
      <x:c r="R496" s="34" t="str">
        <x:f>IF(AND($B496&lt;&gt;"",$G496&lt;&gt;"Done",$G496&lt;&gt;"Canceled",OR($L496="Yes",$H496&lt;=TODAY()+1,$F496="P0 Critical",$F496="P1 High",$G496="Blocked",$G496="Waiting on Others")),COUNT($R$5:R495)+1,"")</x:f>
      </x:c>
      <x:c r="S496" s="34" t="str">
        <x:f>IF(AND($B496&lt;&gt;"",$G496&lt;&gt;"Done",$G496&lt;&gt;"Canceled",OR($M496="Yes",$G496="Blocked",$G496="Waiting on Others")),COUNT($S$5:S495)+1,"")</x:f>
      </x:c>
    </x:row>
    <x:row r="497">
      <x:c r="A497" s="30"/>
      <x:c r="B497" s="30"/>
      <x:c r="C497" s="30"/>
      <x:c r="D497" s="30"/>
      <x:c r="E497" s="30"/>
      <x:c r="F497" s="30"/>
      <x:c r="G497" s="30"/>
      <x:c r="H497" s="31"/>
      <x:c r="I497" s="32"/>
      <x:c r="J497" s="33"/>
      <x:c r="K497" s="30"/>
      <x:c r="L497" s="30"/>
      <x:c r="M497" s="30"/>
      <x:c r="N497" s="30"/>
      <x:c r="O497" s="31"/>
      <x:c r="P497" s="30"/>
      <x:c r="Q497" s="30"/>
      <x:c r="R497" s="34" t="str">
        <x:f>IF(AND($B497&lt;&gt;"",$G497&lt;&gt;"Done",$G497&lt;&gt;"Canceled",OR($L497="Yes",$H497&lt;=TODAY()+1,$F497="P0 Critical",$F497="P1 High",$G497="Blocked",$G497="Waiting on Others")),COUNT($R$5:R496)+1,"")</x:f>
      </x:c>
      <x:c r="S497" s="34" t="str">
        <x:f>IF(AND($B497&lt;&gt;"",$G497&lt;&gt;"Done",$G497&lt;&gt;"Canceled",OR($M497="Yes",$G497="Blocked",$G497="Waiting on Others")),COUNT($S$5:S496)+1,"")</x:f>
      </x:c>
    </x:row>
    <x:row r="498">
      <x:c r="A498" s="30"/>
      <x:c r="B498" s="30"/>
      <x:c r="C498" s="30"/>
      <x:c r="D498" s="30"/>
      <x:c r="E498" s="30"/>
      <x:c r="F498" s="30"/>
      <x:c r="G498" s="30"/>
      <x:c r="H498" s="31"/>
      <x:c r="I498" s="32"/>
      <x:c r="J498" s="33"/>
      <x:c r="K498" s="30"/>
      <x:c r="L498" s="30"/>
      <x:c r="M498" s="30"/>
      <x:c r="N498" s="30"/>
      <x:c r="O498" s="31"/>
      <x:c r="P498" s="30"/>
      <x:c r="Q498" s="30"/>
      <x:c r="R498" s="34" t="str">
        <x:f>IF(AND($B498&lt;&gt;"",$G498&lt;&gt;"Done",$G498&lt;&gt;"Canceled",OR($L498="Yes",$H498&lt;=TODAY()+1,$F498="P0 Critical",$F498="P1 High",$G498="Blocked",$G498="Waiting on Others")),COUNT($R$5:R497)+1,"")</x:f>
      </x:c>
      <x:c r="S498" s="34" t="str">
        <x:f>IF(AND($B498&lt;&gt;"",$G498&lt;&gt;"Done",$G498&lt;&gt;"Canceled",OR($M498="Yes",$G498="Blocked",$G498="Waiting on Others")),COUNT($S$5:S497)+1,"")</x:f>
      </x:c>
    </x:row>
    <x:row r="499">
      <x:c r="A499" s="30"/>
      <x:c r="B499" s="30"/>
      <x:c r="C499" s="30"/>
      <x:c r="D499" s="30"/>
      <x:c r="E499" s="30"/>
      <x:c r="F499" s="30"/>
      <x:c r="G499" s="30"/>
      <x:c r="H499" s="31"/>
      <x:c r="I499" s="32"/>
      <x:c r="J499" s="33"/>
      <x:c r="K499" s="30"/>
      <x:c r="L499" s="30"/>
      <x:c r="M499" s="30"/>
      <x:c r="N499" s="30"/>
      <x:c r="O499" s="31"/>
      <x:c r="P499" s="30"/>
      <x:c r="Q499" s="30"/>
      <x:c r="R499" s="34" t="str">
        <x:f>IF(AND($B499&lt;&gt;"",$G499&lt;&gt;"Done",$G499&lt;&gt;"Canceled",OR($L499="Yes",$H499&lt;=TODAY()+1,$F499="P0 Critical",$F499="P1 High",$G499="Blocked",$G499="Waiting on Others")),COUNT($R$5:R498)+1,"")</x:f>
      </x:c>
      <x:c r="S499" s="34" t="str">
        <x:f>IF(AND($B499&lt;&gt;"",$G499&lt;&gt;"Done",$G499&lt;&gt;"Canceled",OR($M499="Yes",$G499="Blocked",$G499="Waiting on Others")),COUNT($S$5:S498)+1,"")</x:f>
      </x:c>
    </x:row>
    <x:row r="500">
      <x:c r="A500" s="30"/>
      <x:c r="B500" s="30"/>
      <x:c r="C500" s="30"/>
      <x:c r="D500" s="30"/>
      <x:c r="E500" s="30"/>
      <x:c r="F500" s="30"/>
      <x:c r="G500" s="30"/>
      <x:c r="H500" s="31"/>
      <x:c r="I500" s="32"/>
      <x:c r="J500" s="33"/>
      <x:c r="K500" s="30"/>
      <x:c r="L500" s="30"/>
      <x:c r="M500" s="30"/>
      <x:c r="N500" s="30"/>
      <x:c r="O500" s="31"/>
      <x:c r="P500" s="30"/>
      <x:c r="Q500" s="30"/>
      <x:c r="R500" s="34" t="str">
        <x:f>IF(AND($B500&lt;&gt;"",$G500&lt;&gt;"Done",$G500&lt;&gt;"Canceled",OR($L500="Yes",$H500&lt;=TODAY()+1,$F500="P0 Critical",$F500="P1 High",$G500="Blocked",$G500="Waiting on Others")),COUNT($R$5:R499)+1,"")</x:f>
      </x:c>
      <x:c r="S500" s="34" t="str">
        <x:f>IF(AND($B500&lt;&gt;"",$G500&lt;&gt;"Done",$G500&lt;&gt;"Canceled",OR($M500="Yes",$G500="Blocked",$G500="Waiting on Others")),COUNT($S$5:S499)+1,"")</x:f>
      </x:c>
    </x:row>
    <x:row r="501">
      <x:c r="A501" s="30"/>
      <x:c r="B501" s="30"/>
      <x:c r="C501" s="30"/>
      <x:c r="D501" s="30"/>
      <x:c r="E501" s="30"/>
      <x:c r="F501" s="30"/>
      <x:c r="G501" s="30"/>
      <x:c r="H501" s="31"/>
      <x:c r="I501" s="32"/>
      <x:c r="J501" s="33"/>
      <x:c r="K501" s="30"/>
      <x:c r="L501" s="30"/>
      <x:c r="M501" s="30"/>
      <x:c r="N501" s="30"/>
      <x:c r="O501" s="31"/>
      <x:c r="P501" s="30"/>
      <x:c r="Q501" s="30"/>
      <x:c r="R501" s="34" t="str">
        <x:f>IF(AND($B501&lt;&gt;"",$G501&lt;&gt;"Done",$G501&lt;&gt;"Canceled",OR($L501="Yes",$H501&lt;=TODAY()+1,$F501="P0 Critical",$F501="P1 High",$G501="Blocked",$G501="Waiting on Others")),COUNT($R$5:R500)+1,"")</x:f>
      </x:c>
      <x:c r="S501" s="34" t="str">
        <x:f>IF(AND($B501&lt;&gt;"",$G501&lt;&gt;"Done",$G501&lt;&gt;"Canceled",OR($M501="Yes",$G501="Blocked",$G501="Waiting on Others")),COUNT($S$5:S500)+1,"")</x:f>
      </x:c>
    </x:row>
    <x:row r="502">
      <x:c r="A502" s="30"/>
      <x:c r="B502" s="30"/>
      <x:c r="C502" s="30"/>
      <x:c r="D502" s="30"/>
      <x:c r="E502" s="30"/>
      <x:c r="F502" s="30"/>
      <x:c r="G502" s="30"/>
      <x:c r="H502" s="31"/>
      <x:c r="I502" s="32"/>
      <x:c r="J502" s="33"/>
      <x:c r="K502" s="30"/>
      <x:c r="L502" s="30"/>
      <x:c r="M502" s="30"/>
      <x:c r="N502" s="30"/>
      <x:c r="O502" s="31"/>
      <x:c r="P502" s="30"/>
      <x:c r="Q502" s="30"/>
      <x:c r="R502" s="34" t="str">
        <x:f>IF(AND($B502&lt;&gt;"",$G502&lt;&gt;"Done",$G502&lt;&gt;"Canceled",OR($L502="Yes",$H502&lt;=TODAY()+1,$F502="P0 Critical",$F502="P1 High",$G502="Blocked",$G502="Waiting on Others")),COUNT($R$5:R501)+1,"")</x:f>
      </x:c>
      <x:c r="S502" s="34" t="str">
        <x:f>IF(AND($B502&lt;&gt;"",$G502&lt;&gt;"Done",$G502&lt;&gt;"Canceled",OR($M502="Yes",$G502="Blocked",$G502="Waiting on Others")),COUNT($S$5:S501)+1,"")</x:f>
      </x:c>
    </x:row>
    <x:row r="503">
      <x:c r="A503" s="30"/>
      <x:c r="B503" s="30"/>
      <x:c r="C503" s="30"/>
      <x:c r="D503" s="30"/>
      <x:c r="E503" s="30"/>
      <x:c r="F503" s="30"/>
      <x:c r="G503" s="30"/>
      <x:c r="H503" s="31"/>
      <x:c r="I503" s="32"/>
      <x:c r="J503" s="33"/>
      <x:c r="K503" s="30"/>
      <x:c r="L503" s="30"/>
      <x:c r="M503" s="30"/>
      <x:c r="N503" s="30"/>
      <x:c r="O503" s="31"/>
      <x:c r="P503" s="30"/>
      <x:c r="Q503" s="30"/>
      <x:c r="R503" s="34" t="str">
        <x:f>IF(AND($B503&lt;&gt;"",$G503&lt;&gt;"Done",$G503&lt;&gt;"Canceled",OR($L503="Yes",$H503&lt;=TODAY()+1,$F503="P0 Critical",$F503="P1 High",$G503="Blocked",$G503="Waiting on Others")),COUNT($R$5:R502)+1,"")</x:f>
      </x:c>
      <x:c r="S503" s="34" t="str">
        <x:f>IF(AND($B503&lt;&gt;"",$G503&lt;&gt;"Done",$G503&lt;&gt;"Canceled",OR($M503="Yes",$G503="Blocked",$G503="Waiting on Others")),COUNT($S$5:S502)+1,"")</x:f>
      </x:c>
    </x:row>
    <x:row r="504">
      <x:c r="A504" s="30"/>
      <x:c r="B504" s="30"/>
      <x:c r="C504" s="30"/>
      <x:c r="D504" s="30"/>
      <x:c r="E504" s="30"/>
      <x:c r="F504" s="30"/>
      <x:c r="G504" s="30"/>
      <x:c r="H504" s="31"/>
      <x:c r="I504" s="32"/>
      <x:c r="J504" s="33"/>
      <x:c r="K504" s="30"/>
      <x:c r="L504" s="30"/>
      <x:c r="M504" s="30"/>
      <x:c r="N504" s="30"/>
      <x:c r="O504" s="31"/>
      <x:c r="P504" s="30"/>
      <x:c r="Q504" s="30"/>
      <x:c r="R504" s="34" t="str">
        <x:f>IF(AND($B504&lt;&gt;"",$G504&lt;&gt;"Done",$G504&lt;&gt;"Canceled",OR($L504="Yes",$H504&lt;=TODAY()+1,$F504="P0 Critical",$F504="P1 High",$G504="Blocked",$G504="Waiting on Others")),COUNT($R$5:R503)+1,"")</x:f>
      </x:c>
      <x:c r="S504" s="34" t="str">
        <x:f>IF(AND($B504&lt;&gt;"",$G504&lt;&gt;"Done",$G504&lt;&gt;"Canceled",OR($M504="Yes",$G504="Blocked",$G504="Waiting on Others")),COUNT($S$5:S503)+1,"")</x:f>
      </x:c>
    </x:row>
    <x:row r="505">
      <x:c r="A505" s="30"/>
      <x:c r="B505" s="30"/>
      <x:c r="C505" s="30"/>
      <x:c r="D505" s="30"/>
      <x:c r="E505" s="30"/>
      <x:c r="F505" s="30"/>
      <x:c r="G505" s="30"/>
      <x:c r="H505" s="31"/>
      <x:c r="I505" s="32"/>
      <x:c r="J505" s="33"/>
      <x:c r="K505" s="30"/>
      <x:c r="L505" s="30"/>
      <x:c r="M505" s="30"/>
      <x:c r="N505" s="30"/>
      <x:c r="O505" s="31"/>
      <x:c r="P505" s="30"/>
      <x:c r="Q505" s="30"/>
      <x:c r="R505" s="34" t="str">
        <x:f>IF(AND($B505&lt;&gt;"",$G505&lt;&gt;"Done",$G505&lt;&gt;"Canceled",OR($L505="Yes",$H505&lt;=TODAY()+1,$F505="P0 Critical",$F505="P1 High",$G505="Blocked",$G505="Waiting on Others")),COUNT($R$5:R504)+1,"")</x:f>
      </x:c>
      <x:c r="S505" s="34" t="str">
        <x:f>IF(AND($B505&lt;&gt;"",$G505&lt;&gt;"Done",$G505&lt;&gt;"Canceled",OR($M505="Yes",$G505="Blocked",$G505="Waiting on Others")),COUNT($S$5:S504)+1,"")</x:f>
      </x:c>
    </x:row>
  </x:sheetData>
  <x:conditionalFormatting sqref="H6:H505">
    <x:cfRule type="expression" dxfId="0" priority="1">
      <x:formula>AND($H6&lt;TODAY(),$G6&lt;&gt;"Done",$G6&lt;&gt;"Canceled",$B6&lt;&gt;"")</x:formula>
    </x:cfRule>
  </x:conditionalFormatting>
  <x:dataValidations count="7">
    <x:dataValidation type="list" sqref="C6:C505">
      <x:formula1>Settings!$C$5:$C$12</x:formula1>
    </x:dataValidation>
    <x:dataValidation type="list" sqref="D6:D505">
      <x:formula1>Settings!$F$5:$F$24</x:formula1>
    </x:dataValidation>
    <x:dataValidation type="list" sqref="E6:E505">
      <x:formula1>Settings!$I$5:$I$24</x:formula1>
    </x:dataValidation>
    <x:dataValidation type="list" sqref="F6:F505">
      <x:formula1>Settings!$B$5:$B$8</x:formula1>
    </x:dataValidation>
    <x:dataValidation type="list" sqref="G6:G505">
      <x:formula1>Settings!$A$5:$A$11</x:formula1>
    </x:dataValidation>
    <x:dataValidation type="list" sqref="L6:M505">
      <x:formula1>"Yes,No"</x:formula1>
    </x:dataValidation>
    <x:dataValidation type="list" sqref="Q6:Q505">
      <x:formula1>Settings!$D$5:$D$9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717268281444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33.33000183105469" hidden="0" customWidth="1"/>
    <x:col min="3" max="3" width="18.889999389648438" hidden="0" customWidth="1"/>
    <x:col min="4" max="4" width="13.329999923706055" hidden="0" customWidth="1"/>
    <x:col min="5" max="5" width="13.329999923706055" hidden="0" customWidth="1"/>
    <x:col min="6" max="6" width="16.670000076293945" hidden="0" customWidth="1"/>
    <x:col min="7" max="7" width="12.779999732971191" hidden="0" customWidth="1"/>
    <x:col min="8" max="8" width="10" hidden="0" customWidth="1"/>
    <x:col min="9" max="9" width="31.110000610351562" hidden="0" customWidth="1"/>
    <x:col min="10" max="10" width="24.440000534057617" hidden="0" customWidth="1"/>
    <x:col min="11" max="11" width="13.329999923706055" hidden="0" customWidth="1"/>
  </x:cols>
  <x:sheetData>
    <x:row r="1" ht="31.5" customHeight="1">
      <x:c r="A1" s="2" t="str">
        <x:v>Daily Plan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</x:row>
    <x:row r="2">
      <x:c r="A2" s="25" t="str">
        <x:v>Read-only formula view. Add or update tasks only in Task Inbox; this page pulls today's focus items automatically.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A4" s="29" t="str">
        <x:v>ID</x:v>
      </x:c>
      <x:c r="B4" s="29" t="str">
        <x:v>Task</x:v>
      </x:c>
      <x:c r="C4" s="29" t="str">
        <x:v>Project</x:v>
      </x:c>
      <x:c r="D4" s="29" t="str">
        <x:v>Owner</x:v>
      </x:c>
      <x:c r="E4" s="29" t="str">
        <x:v>Priority</x:v>
      </x:c>
      <x:c r="F4" s="29" t="str">
        <x:v>Status</x:v>
      </x:c>
      <x:c r="G4" s="29" t="str">
        <x:v>Due Date</x:v>
      </x:c>
      <x:c r="H4" s="29" t="str">
        <x:v>Progress</x:v>
      </x:c>
      <x:c r="I4" s="29" t="str">
        <x:v>Next Step</x:v>
      </x:c>
      <x:c r="J4" s="29" t="str">
        <x:v>Blocker</x:v>
      </x:c>
      <x:c r="K4" s="29" t="str">
        <x:v>Reason Shown</x:v>
      </x:c>
    </x:row>
    <x:row r="5">
      <x:c r="A5" s="30" t="str">
        <x:f>IFERROR(INDEX('Task Inbox'!A$6:A$505,MATCH(ROWS($A$5:A5),'Task Inbox'!$R$6:$R$505,0)),"")</x:f>
        <x:v>T-001</x:v>
      </x:c>
      <x:c r="B5" s="30" t="str">
        <x:f>IFERROR(INDEX('Task Inbox'!B$6:B$505,MATCH(ROWS($A$5:A5),'Task Inbox'!$R$6:$R$505,0)),"")</x:f>
        <x:v>Confirm this week's team Top 3 priorities</x:v>
      </x:c>
      <x:c r="C5" s="30" t="str">
        <x:f>IFERROR(INDEX('Task Inbox'!D$6:D$505,MATCH(ROWS($A$5:A5),'Task Inbox'!$R$6:$R$505,0)),"")</x:f>
        <x:v>Team Management</x:v>
      </x:c>
      <x:c r="D5" s="30" t="str">
        <x:f>IFERROR(INDEX('Task Inbox'!E$6:E$505,MATCH(ROWS($A$5:A5),'Task Inbox'!$R$6:$R$505,0)),"")</x:f>
        <x:v>Me</x:v>
      </x:c>
      <x:c r="E5" s="30" t="str">
        <x:f>IFERROR(INDEX('Task Inbox'!F$6:F$505,MATCH(ROWS($A$5:A5),'Task Inbox'!$R$6:$R$505,0)),"")</x:f>
        <x:v>P0 Critical</x:v>
      </x:c>
      <x:c r="F5" s="30" t="str">
        <x:f>IFERROR(INDEX('Task Inbox'!G$6:G$505,MATCH(ROWS($A$5:A5),'Task Inbox'!$R$6:$R$505,0)),"")</x:f>
        <x:v>In Progress</x:v>
      </x:c>
      <x:c r="G5" s="31" t="n">
        <x:f>IFERROR(INDEX('Task Inbox'!H$6:H$505,MATCH(ROWS($A$5:A5),'Task Inbox'!$R$6:$R$505,0)),"")</x:f>
        <x:v>46174</x:v>
      </x:c>
      <x:c r="H5" s="33" t="n">
        <x:f>IFERROR(INDEX('Task Inbox'!J$6:J$505,MATCH(ROWS($A$5:A5),'Task Inbox'!$R$6:$R$505,0)),"")</x:f>
        <x:v>0.5</x:v>
      </x:c>
      <x:c r="I5" s="30" t="str">
        <x:f>IFERROR(INDEX('Task Inbox'!K$6:K$505,MATCH(ROWS($A$5:A5),'Task Inbox'!$R$6:$R$505,0)),"")</x:f>
        <x:v>Confirm owner in 15-min standup</x:v>
      </x:c>
      <x:c r="J5" s="30" t="str">
        <x:f>IFERROR(INDEX('Task Inbox'!N$6:N$505,MATCH(ROWS($A$5:A5),'Task Inbox'!$R$6:$R$505,0)),"")</x:f>
      </x:c>
      <x:c r="K5" s="30" t="str">
        <x:f>IF($A5="","",IF($F5="Blocked","Blocked",IF($F5="Waiting on Others","Waiting",IF($G5&lt;TODAY(),"Overdue",IF($G5&lt;=TODAY()+1,"Due Soon","Priority")))))</x:f>
        <x:v>Due Soon</x:v>
      </x:c>
    </x:row>
    <x:row r="6">
      <x:c r="A6" s="30" t="str">
        <x:f>IFERROR(INDEX('Task Inbox'!A$6:A$505,MATCH(ROWS($A$5:A6),'Task Inbox'!$R$6:$R$505,0)),"")</x:f>
        <x:v>T-002</x:v>
      </x:c>
      <x:c r="B6" s="30" t="str">
        <x:f>IFERROR(INDEX('Task Inbox'!B$6:B$505,MATCH(ROWS($A$5:A6),'Task Inbox'!$R$6:$R$505,0)),"")</x:f>
        <x:v>Follow up on customer delivery risk list</x:v>
      </x:c>
      <x:c r="C6" s="30" t="str">
        <x:f>IFERROR(INDEX('Task Inbox'!D$6:D$505,MATCH(ROWS($A$5:A6),'Task Inbox'!$R$6:$R$505,0)),"")</x:f>
        <x:v>Customer Delivery</x:v>
      </x:c>
      <x:c r="D6" s="30" t="str">
        <x:f>IFERROR(INDEX('Task Inbox'!E$6:E$505,MATCH(ROWS($A$5:A6),'Task Inbox'!$R$6:$R$505,0)),"")</x:f>
        <x:v>Alice</x:v>
      </x:c>
      <x:c r="E6" s="30" t="str">
        <x:f>IFERROR(INDEX('Task Inbox'!F$6:F$505,MATCH(ROWS($A$5:A6),'Task Inbox'!$R$6:$R$505,0)),"")</x:f>
        <x:v>P1 High</x:v>
      </x:c>
      <x:c r="F6" s="30" t="str">
        <x:f>IFERROR(INDEX('Task Inbox'!G$6:G$505,MATCH(ROWS($A$5:A6),'Task Inbox'!$R$6:$R$505,0)),"")</x:f>
        <x:v>Waiting on Others</x:v>
      </x:c>
      <x:c r="G6" s="31" t="n">
        <x:f>IFERROR(INDEX('Task Inbox'!H$6:H$505,MATCH(ROWS($A$5:A6),'Task Inbox'!$R$6:$R$505,0)),"")</x:f>
        <x:v>46175</x:v>
      </x:c>
      <x:c r="H6" s="33" t="n">
        <x:f>IFERROR(INDEX('Task Inbox'!J$6:J$505,MATCH(ROWS($A$5:A6),'Task Inbox'!$R$6:$R$505,0)),"")</x:f>
        <x:v>0.35</x:v>
      </x:c>
      <x:c r="I6" s="30" t="str">
        <x:f>IFERROR(INDEX('Task Inbox'!K$6:K$505,MATCH(ROWS($A$5:A6),'Task Inbox'!$R$6:$R$505,0)),"")</x:f>
        <x:v>Waiting for risk rating from Alice</x:v>
      </x:c>
      <x:c r="J6" s="30" t="str">
        <x:f>IFERROR(INDEX('Task Inbox'!N$6:N$505,MATCH(ROWS($A$5:A6),'Task Inbox'!$R$6:$R$505,0)),"")</x:f>
      </x:c>
      <x:c r="K6" s="30" t="str">
        <x:f>IF($A6="","",IF($F6="Blocked","Blocked",IF($F6="Waiting on Others","Waiting",IF($G6&lt;TODAY(),"Overdue",IF($G6&lt;=TODAY()+1,"Due Soon","Priority")))))</x:f>
        <x:v>Waiting</x:v>
      </x:c>
    </x:row>
    <x:row r="7">
      <x:c r="A7" s="30" t="str">
        <x:f>IFERROR(INDEX('Task Inbox'!A$6:A$505,MATCH(ROWS($A$5:A7),'Task Inbox'!$R$6:$R$505,0)),"")</x:f>
        <x:v>T-003</x:v>
      </x:c>
      <x:c r="B7" s="30" t="str">
        <x:f>IFERROR(INDEX('Task Inbox'!B$6:B$505,MATCH(ROWS($A$5:A7),'Task Inbox'!$R$6:$R$505,0)),"")</x:f>
        <x:v>Approve Q3 budget draft</x:v>
      </x:c>
      <x:c r="C7" s="30" t="str">
        <x:f>IFERROR(INDEX('Task Inbox'!D$6:D$505,MATCH(ROWS($A$5:A7),'Task Inbox'!$R$6:$R$505,0)),"")</x:f>
        <x:v>Budget Planning</x:v>
      </x:c>
      <x:c r="D7" s="30" t="str">
        <x:f>IFERROR(INDEX('Task Inbox'!E$6:E$505,MATCH(ROWS($A$5:A7),'Task Inbox'!$R$6:$R$505,0)),"")</x:f>
        <x:v>Me</x:v>
      </x:c>
      <x:c r="E7" s="30" t="str">
        <x:f>IFERROR(INDEX('Task Inbox'!F$6:F$505,MATCH(ROWS($A$5:A7),'Task Inbox'!$R$6:$R$505,0)),"")</x:f>
        <x:v>P1 High</x:v>
      </x:c>
      <x:c r="F7" s="30" t="str">
        <x:f>IFERROR(INDEX('Task Inbox'!G$6:G$505,MATCH(ROWS($A$5:A7),'Task Inbox'!$R$6:$R$505,0)),"")</x:f>
        <x:v>Not Started</x:v>
      </x:c>
      <x:c r="G7" s="31" t="n">
        <x:f>IFERROR(INDEX('Task Inbox'!H$6:H$505,MATCH(ROWS($A$5:A7),'Task Inbox'!$R$6:$R$505,0)),"")</x:f>
        <x:v>46178</x:v>
      </x:c>
      <x:c r="H7" s="33" t="n">
        <x:f>IFERROR(INDEX('Task Inbox'!J$6:J$505,MATCH(ROWS($A$5:A7),'Task Inbox'!$R$6:$R$505,0)),"")</x:f>
        <x:v>0</x:v>
      </x:c>
      <x:c r="I7" s="30" t="str">
        <x:f>IFERROR(INDEX('Task Inbox'!K$6:K$505,MATCH(ROWS($A$5:A7),'Task Inbox'!$R$6:$R$505,0)),"")</x:f>
        <x:v>Review Finance version</x:v>
      </x:c>
      <x:c r="J7" s="30" t="str">
        <x:f>IFERROR(INDEX('Task Inbox'!N$6:N$505,MATCH(ROWS($A$5:A7),'Task Inbox'!$R$6:$R$505,0)),"")</x:f>
      </x:c>
      <x:c r="K7" s="30" t="str">
        <x:f>IF($A7="","",IF($F7="Blocked","Blocked",IF($F7="Waiting on Others","Waiting",IF($G7&lt;TODAY(),"Overdue",IF($G7&lt;=TODAY()+1,"Due Soon","Priority")))))</x:f>
        <x:v>Priority</x:v>
      </x:c>
    </x:row>
    <x:row r="8">
      <x:c r="A8" s="30" t="str">
        <x:f>IFERROR(INDEX('Task Inbox'!A$6:A$505,MATCH(ROWS($A$5:A8),'Task Inbox'!$R$6:$R$505,0)),"")</x:f>
        <x:v>T-004</x:v>
      </x:c>
      <x:c r="B8" s="30" t="str">
        <x:f>IFERROR(INDEX('Task Inbox'!B$6:B$505,MATCH(ROWS($A$5:A8),'Task Inbox'!$R$6:$R$505,0)),"")</x:f>
        <x:v>Compile hiring interview feedback</x:v>
      </x:c>
      <x:c r="C8" s="30" t="str">
        <x:f>IFERROR(INDEX('Task Inbox'!D$6:D$505,MATCH(ROWS($A$5:A8),'Task Inbox'!$R$6:$R$505,0)),"")</x:f>
        <x:v>Hiring</x:v>
      </x:c>
      <x:c r="D8" s="30" t="str">
        <x:f>IFERROR(INDEX('Task Inbox'!E$6:E$505,MATCH(ROWS($A$5:A8),'Task Inbox'!$R$6:$R$505,0)),"")</x:f>
        <x:v>HR</x:v>
      </x:c>
      <x:c r="E8" s="30" t="str">
        <x:f>IFERROR(INDEX('Task Inbox'!F$6:F$505,MATCH(ROWS($A$5:A8),'Task Inbox'!$R$6:$R$505,0)),"")</x:f>
        <x:v>P2 Medium</x:v>
      </x:c>
      <x:c r="F8" s="30" t="str">
        <x:f>IFERROR(INDEX('Task Inbox'!G$6:G$505,MATCH(ROWS($A$5:A8),'Task Inbox'!$R$6:$R$505,0)),"")</x:f>
        <x:v>Blocked</x:v>
      </x:c>
      <x:c r="G8" s="31" t="n">
        <x:f>IFERROR(INDEX('Task Inbox'!H$6:H$505,MATCH(ROWS($A$5:A8),'Task Inbox'!$R$6:$R$505,0)),"")</x:f>
        <x:v>46172</x:v>
      </x:c>
      <x:c r="H8" s="33" t="n">
        <x:f>IFERROR(INDEX('Task Inbox'!J$6:J$505,MATCH(ROWS($A$5:A8),'Task Inbox'!$R$6:$R$505,0)),"")</x:f>
        <x:v>0.2</x:v>
      </x:c>
      <x:c r="I8" s="30" t="str">
        <x:f>IFERROR(INDEX('Task Inbox'!K$6:K$505,MATCH(ROWS($A$5:A8),'Task Inbox'!$R$6:$R$505,0)),"")</x:f>
        <x:v>Ask HR for missing scorecard</x:v>
      </x:c>
      <x:c r="J8" s="30" t="str">
        <x:f>IFERROR(INDEX('Task Inbox'!N$6:N$505,MATCH(ROWS($A$5:A8),'Task Inbox'!$R$6:$R$505,0)),"")</x:f>
        <x:v>Missing interviewer scorecard</x:v>
      </x:c>
      <x:c r="K8" s="30" t="str">
        <x:f>IF($A8="","",IF($F8="Blocked","Blocked",IF($F8="Waiting on Others","Waiting",IF($G8&lt;TODAY(),"Overdue",IF($G8&lt;=TODAY()+1,"Due Soon","Priority")))))</x:f>
        <x:v>Blocked</x:v>
      </x:c>
    </x:row>
    <x:row r="9">
      <x:c r="A9" s="30" t="str">
        <x:f>IFERROR(INDEX('Task Inbox'!A$6:A$505,MATCH(ROWS($A$5:A9),'Task Inbox'!$R$6:$R$505,0)),"")</x:f>
        <x:v>T-006</x:v>
      </x:c>
      <x:c r="B9" s="30" t="str">
        <x:f>IFERROR(INDEX('Task Inbox'!B$6:B$505,MATCH(ROWS($A$5:A9),'Task Inbox'!$R$6:$R$505,0)),"")</x:f>
        <x:v>Map cross-functional SLA workflow</x:v>
      </x:c>
      <x:c r="C9" s="30" t="str">
        <x:f>IFERROR(INDEX('Task Inbox'!D$6:D$505,MATCH(ROWS($A$5:A9),'Task Inbox'!$R$6:$R$505,0)),"")</x:f>
        <x:v>Process Optimization</x:v>
      </x:c>
      <x:c r="D9" s="30" t="str">
        <x:f>IFERROR(INDEX('Task Inbox'!E$6:E$505,MATCH(ROWS($A$5:A9),'Task Inbox'!$R$6:$R$505,0)),"")</x:f>
        <x:v>Product</x:v>
      </x:c>
      <x:c r="E9" s="30" t="str">
        <x:f>IFERROR(INDEX('Task Inbox'!F$6:F$505,MATCH(ROWS($A$5:A9),'Task Inbox'!$R$6:$R$505,0)),"")</x:f>
        <x:v>P1 High</x:v>
      </x:c>
      <x:c r="F9" s="30" t="str">
        <x:f>IFERROR(INDEX('Task Inbox'!G$6:G$505,MATCH(ROWS($A$5:A9),'Task Inbox'!$R$6:$R$505,0)),"")</x:f>
        <x:v>In Progress</x:v>
      </x:c>
      <x:c r="G9" s="31" t="n">
        <x:f>IFERROR(INDEX('Task Inbox'!H$6:H$505,MATCH(ROWS($A$5:A9),'Task Inbox'!$R$6:$R$505,0)),"")</x:f>
        <x:v>46180</x:v>
      </x:c>
      <x:c r="H9" s="33" t="n">
        <x:f>IFERROR(INDEX('Task Inbox'!J$6:J$505,MATCH(ROWS($A$5:A9),'Task Inbox'!$R$6:$R$505,0)),"")</x:f>
        <x:v>0.65</x:v>
      </x:c>
      <x:c r="I9" s="30" t="str">
        <x:f>IFERROR(INDEX('Task Inbox'!K$6:K$505,MATCH(ROWS($A$5:A9),'Task Inbox'!$R$6:$R$505,0)),"")</x:f>
        <x:v>Add Legal review node</x:v>
      </x:c>
      <x:c r="J9" s="30" t="str">
        <x:f>IFERROR(INDEX('Task Inbox'!N$6:N$505,MATCH(ROWS($A$5:A9),'Task Inbox'!$R$6:$R$505,0)),"")</x:f>
      </x:c>
      <x:c r="K9" s="30" t="str">
        <x:f>IF($A9="","",IF($F9="Blocked","Blocked",IF($F9="Waiting on Others","Waiting",IF($G9&lt;TODAY(),"Overdue",IF($G9&lt;=TODAY()+1,"Due Soon","Priority")))))</x:f>
        <x:v>Priority</x:v>
      </x:c>
    </x:row>
    <x:row r="10">
      <x:c r="A10" s="30" t="str">
        <x:f>IFERROR(INDEX('Task Inbox'!A$6:A$505,MATCH(ROWS($A$5:A10),'Task Inbox'!$R$6:$R$505,0)),"")</x:f>
      </x:c>
      <x:c r="B10" s="30" t="str">
        <x:f>IFERROR(INDEX('Task Inbox'!B$6:B$505,MATCH(ROWS($A$5:A10),'Task Inbox'!$R$6:$R$505,0)),"")</x:f>
      </x:c>
      <x:c r="C10" s="30" t="str">
        <x:f>IFERROR(INDEX('Task Inbox'!D$6:D$505,MATCH(ROWS($A$5:A10),'Task Inbox'!$R$6:$R$505,0)),"")</x:f>
      </x:c>
      <x:c r="D10" s="30" t="str">
        <x:f>IFERROR(INDEX('Task Inbox'!E$6:E$505,MATCH(ROWS($A$5:A10),'Task Inbox'!$R$6:$R$505,0)),"")</x:f>
      </x:c>
      <x:c r="E10" s="30" t="str">
        <x:f>IFERROR(INDEX('Task Inbox'!F$6:F$505,MATCH(ROWS($A$5:A10),'Task Inbox'!$R$6:$R$505,0)),"")</x:f>
      </x:c>
      <x:c r="F10" s="30" t="str">
        <x:f>IFERROR(INDEX('Task Inbox'!G$6:G$505,MATCH(ROWS($A$5:A10),'Task Inbox'!$R$6:$R$505,0)),"")</x:f>
      </x:c>
      <x:c r="G10" s="31" t="str">
        <x:f>IFERROR(INDEX('Task Inbox'!H$6:H$505,MATCH(ROWS($A$5:A10),'Task Inbox'!$R$6:$R$505,0)),"")</x:f>
      </x:c>
      <x:c r="H10" s="33" t="str">
        <x:f>IFERROR(INDEX('Task Inbox'!J$6:J$505,MATCH(ROWS($A$5:A10),'Task Inbox'!$R$6:$R$505,0)),"")</x:f>
      </x:c>
      <x:c r="I10" s="30" t="str">
        <x:f>IFERROR(INDEX('Task Inbox'!K$6:K$505,MATCH(ROWS($A$5:A10),'Task Inbox'!$R$6:$R$505,0)),"")</x:f>
      </x:c>
      <x:c r="J10" s="30" t="str">
        <x:f>IFERROR(INDEX('Task Inbox'!N$6:N$505,MATCH(ROWS($A$5:A10),'Task Inbox'!$R$6:$R$505,0)),"")</x:f>
      </x:c>
      <x:c r="K10" s="30" t="str">
        <x:f>IF($A10="","",IF($F10="Blocked","Blocked",IF($F10="Waiting on Others","Waiting",IF($G10&lt;TODAY(),"Overdue",IF($G10&lt;=TODAY()+1,"Due Soon","Priority")))))</x:f>
      </x:c>
    </x:row>
    <x:row r="11">
      <x:c r="A11" s="30" t="str">
        <x:f>IFERROR(INDEX('Task Inbox'!A$6:A$505,MATCH(ROWS($A$5:A11),'Task Inbox'!$R$6:$R$505,0)),"")</x:f>
      </x:c>
      <x:c r="B11" s="30" t="str">
        <x:f>IFERROR(INDEX('Task Inbox'!B$6:B$505,MATCH(ROWS($A$5:A11),'Task Inbox'!$R$6:$R$505,0)),"")</x:f>
      </x:c>
      <x:c r="C11" s="30" t="str">
        <x:f>IFERROR(INDEX('Task Inbox'!D$6:D$505,MATCH(ROWS($A$5:A11),'Task Inbox'!$R$6:$R$505,0)),"")</x:f>
      </x:c>
      <x:c r="D11" s="30" t="str">
        <x:f>IFERROR(INDEX('Task Inbox'!E$6:E$505,MATCH(ROWS($A$5:A11),'Task Inbox'!$R$6:$R$505,0)),"")</x:f>
      </x:c>
      <x:c r="E11" s="30" t="str">
        <x:f>IFERROR(INDEX('Task Inbox'!F$6:F$505,MATCH(ROWS($A$5:A11),'Task Inbox'!$R$6:$R$505,0)),"")</x:f>
      </x:c>
      <x:c r="F11" s="30" t="str">
        <x:f>IFERROR(INDEX('Task Inbox'!G$6:G$505,MATCH(ROWS($A$5:A11),'Task Inbox'!$R$6:$R$505,0)),"")</x:f>
      </x:c>
      <x:c r="G11" s="31" t="str">
        <x:f>IFERROR(INDEX('Task Inbox'!H$6:H$505,MATCH(ROWS($A$5:A11),'Task Inbox'!$R$6:$R$505,0)),"")</x:f>
      </x:c>
      <x:c r="H11" s="33" t="str">
        <x:f>IFERROR(INDEX('Task Inbox'!J$6:J$505,MATCH(ROWS($A$5:A11),'Task Inbox'!$R$6:$R$505,0)),"")</x:f>
      </x:c>
      <x:c r="I11" s="30" t="str">
        <x:f>IFERROR(INDEX('Task Inbox'!K$6:K$505,MATCH(ROWS($A$5:A11),'Task Inbox'!$R$6:$R$505,0)),"")</x:f>
      </x:c>
      <x:c r="J11" s="30" t="str">
        <x:f>IFERROR(INDEX('Task Inbox'!N$6:N$505,MATCH(ROWS($A$5:A11),'Task Inbox'!$R$6:$R$505,0)),"")</x:f>
      </x:c>
      <x:c r="K11" s="30" t="str">
        <x:f>IF($A11="","",IF($F11="Blocked","Blocked",IF($F11="Waiting on Others","Waiting",IF($G11&lt;TODAY(),"Overdue",IF($G11&lt;=TODAY()+1,"Due Soon","Priority")))))</x:f>
      </x:c>
    </x:row>
    <x:row r="12">
      <x:c r="A12" s="30" t="str">
        <x:f>IFERROR(INDEX('Task Inbox'!A$6:A$505,MATCH(ROWS($A$5:A12),'Task Inbox'!$R$6:$R$505,0)),"")</x:f>
      </x:c>
      <x:c r="B12" s="30" t="str">
        <x:f>IFERROR(INDEX('Task Inbox'!B$6:B$505,MATCH(ROWS($A$5:A12),'Task Inbox'!$R$6:$R$505,0)),"")</x:f>
      </x:c>
      <x:c r="C12" s="30" t="str">
        <x:f>IFERROR(INDEX('Task Inbox'!D$6:D$505,MATCH(ROWS($A$5:A12),'Task Inbox'!$R$6:$R$505,0)),"")</x:f>
      </x:c>
      <x:c r="D12" s="30" t="str">
        <x:f>IFERROR(INDEX('Task Inbox'!E$6:E$505,MATCH(ROWS($A$5:A12),'Task Inbox'!$R$6:$R$505,0)),"")</x:f>
      </x:c>
      <x:c r="E12" s="30" t="str">
        <x:f>IFERROR(INDEX('Task Inbox'!F$6:F$505,MATCH(ROWS($A$5:A12),'Task Inbox'!$R$6:$R$505,0)),"")</x:f>
      </x:c>
      <x:c r="F12" s="30" t="str">
        <x:f>IFERROR(INDEX('Task Inbox'!G$6:G$505,MATCH(ROWS($A$5:A12),'Task Inbox'!$R$6:$R$505,0)),"")</x:f>
      </x:c>
      <x:c r="G12" s="31" t="str">
        <x:f>IFERROR(INDEX('Task Inbox'!H$6:H$505,MATCH(ROWS($A$5:A12),'Task Inbox'!$R$6:$R$505,0)),"")</x:f>
      </x:c>
      <x:c r="H12" s="33" t="str">
        <x:f>IFERROR(INDEX('Task Inbox'!J$6:J$505,MATCH(ROWS($A$5:A12),'Task Inbox'!$R$6:$R$505,0)),"")</x:f>
      </x:c>
      <x:c r="I12" s="30" t="str">
        <x:f>IFERROR(INDEX('Task Inbox'!K$6:K$505,MATCH(ROWS($A$5:A12),'Task Inbox'!$R$6:$R$505,0)),"")</x:f>
      </x:c>
      <x:c r="J12" s="30" t="str">
        <x:f>IFERROR(INDEX('Task Inbox'!N$6:N$505,MATCH(ROWS($A$5:A12),'Task Inbox'!$R$6:$R$505,0)),"")</x:f>
      </x:c>
      <x:c r="K12" s="30" t="str">
        <x:f>IF($A12="","",IF($F12="Blocked","Blocked",IF($F12="Waiting on Others","Waiting",IF($G12&lt;TODAY(),"Overdue",IF($G12&lt;=TODAY()+1,"Due Soon","Priority")))))</x:f>
      </x:c>
    </x:row>
    <x:row r="13">
      <x:c r="A13" s="30" t="str">
        <x:f>IFERROR(INDEX('Task Inbox'!A$6:A$505,MATCH(ROWS($A$5:A13),'Task Inbox'!$R$6:$R$505,0)),"")</x:f>
      </x:c>
      <x:c r="B13" s="30" t="str">
        <x:f>IFERROR(INDEX('Task Inbox'!B$6:B$505,MATCH(ROWS($A$5:A13),'Task Inbox'!$R$6:$R$505,0)),"")</x:f>
      </x:c>
      <x:c r="C13" s="30" t="str">
        <x:f>IFERROR(INDEX('Task Inbox'!D$6:D$505,MATCH(ROWS($A$5:A13),'Task Inbox'!$R$6:$R$505,0)),"")</x:f>
      </x:c>
      <x:c r="D13" s="30" t="str">
        <x:f>IFERROR(INDEX('Task Inbox'!E$6:E$505,MATCH(ROWS($A$5:A13),'Task Inbox'!$R$6:$R$505,0)),"")</x:f>
      </x:c>
      <x:c r="E13" s="30" t="str">
        <x:f>IFERROR(INDEX('Task Inbox'!F$6:F$505,MATCH(ROWS($A$5:A13),'Task Inbox'!$R$6:$R$505,0)),"")</x:f>
      </x:c>
      <x:c r="F13" s="30" t="str">
        <x:f>IFERROR(INDEX('Task Inbox'!G$6:G$505,MATCH(ROWS($A$5:A13),'Task Inbox'!$R$6:$R$505,0)),"")</x:f>
      </x:c>
      <x:c r="G13" s="31" t="str">
        <x:f>IFERROR(INDEX('Task Inbox'!H$6:H$505,MATCH(ROWS($A$5:A13),'Task Inbox'!$R$6:$R$505,0)),"")</x:f>
      </x:c>
      <x:c r="H13" s="33" t="str">
        <x:f>IFERROR(INDEX('Task Inbox'!J$6:J$505,MATCH(ROWS($A$5:A13),'Task Inbox'!$R$6:$R$505,0)),"")</x:f>
      </x:c>
      <x:c r="I13" s="30" t="str">
        <x:f>IFERROR(INDEX('Task Inbox'!K$6:K$505,MATCH(ROWS($A$5:A13),'Task Inbox'!$R$6:$R$505,0)),"")</x:f>
      </x:c>
      <x:c r="J13" s="30" t="str">
        <x:f>IFERROR(INDEX('Task Inbox'!N$6:N$505,MATCH(ROWS($A$5:A13),'Task Inbox'!$R$6:$R$505,0)),"")</x:f>
      </x:c>
      <x:c r="K13" s="30" t="str">
        <x:f>IF($A13="","",IF($F13="Blocked","Blocked",IF($F13="Waiting on Others","Waiting",IF($G13&lt;TODAY(),"Overdue",IF($G13&lt;=TODAY()+1,"Due Soon","Priority")))))</x:f>
      </x:c>
    </x:row>
    <x:row r="14">
      <x:c r="A14" s="30" t="str">
        <x:f>IFERROR(INDEX('Task Inbox'!A$6:A$505,MATCH(ROWS($A$5:A14),'Task Inbox'!$R$6:$R$505,0)),"")</x:f>
      </x:c>
      <x:c r="B14" s="30" t="str">
        <x:f>IFERROR(INDEX('Task Inbox'!B$6:B$505,MATCH(ROWS($A$5:A14),'Task Inbox'!$R$6:$R$505,0)),"")</x:f>
      </x:c>
      <x:c r="C14" s="30" t="str">
        <x:f>IFERROR(INDEX('Task Inbox'!D$6:D$505,MATCH(ROWS($A$5:A14),'Task Inbox'!$R$6:$R$505,0)),"")</x:f>
      </x:c>
      <x:c r="D14" s="30" t="str">
        <x:f>IFERROR(INDEX('Task Inbox'!E$6:E$505,MATCH(ROWS($A$5:A14),'Task Inbox'!$R$6:$R$505,0)),"")</x:f>
      </x:c>
      <x:c r="E14" s="30" t="str">
        <x:f>IFERROR(INDEX('Task Inbox'!F$6:F$505,MATCH(ROWS($A$5:A14),'Task Inbox'!$R$6:$R$505,0)),"")</x:f>
      </x:c>
      <x:c r="F14" s="30" t="str">
        <x:f>IFERROR(INDEX('Task Inbox'!G$6:G$505,MATCH(ROWS($A$5:A14),'Task Inbox'!$R$6:$R$505,0)),"")</x:f>
      </x:c>
      <x:c r="G14" s="31" t="str">
        <x:f>IFERROR(INDEX('Task Inbox'!H$6:H$505,MATCH(ROWS($A$5:A14),'Task Inbox'!$R$6:$R$505,0)),"")</x:f>
      </x:c>
      <x:c r="H14" s="33" t="str">
        <x:f>IFERROR(INDEX('Task Inbox'!J$6:J$505,MATCH(ROWS($A$5:A14),'Task Inbox'!$R$6:$R$505,0)),"")</x:f>
      </x:c>
      <x:c r="I14" s="30" t="str">
        <x:f>IFERROR(INDEX('Task Inbox'!K$6:K$505,MATCH(ROWS($A$5:A14),'Task Inbox'!$R$6:$R$505,0)),"")</x:f>
      </x:c>
      <x:c r="J14" s="30" t="str">
        <x:f>IFERROR(INDEX('Task Inbox'!N$6:N$505,MATCH(ROWS($A$5:A14),'Task Inbox'!$R$6:$R$505,0)),"")</x:f>
      </x:c>
      <x:c r="K14" s="30" t="str">
        <x:f>IF($A14="","",IF($F14="Blocked","Blocked",IF($F14="Waiting on Others","Waiting",IF($G14&lt;TODAY(),"Overdue",IF($G14&lt;=TODAY()+1,"Due Soon","Priority")))))</x:f>
      </x:c>
    </x:row>
    <x:row r="15">
      <x:c r="A15" s="30" t="str">
        <x:f>IFERROR(INDEX('Task Inbox'!A$6:A$505,MATCH(ROWS($A$5:A15),'Task Inbox'!$R$6:$R$505,0)),"")</x:f>
      </x:c>
      <x:c r="B15" s="30" t="str">
        <x:f>IFERROR(INDEX('Task Inbox'!B$6:B$505,MATCH(ROWS($A$5:A15),'Task Inbox'!$R$6:$R$505,0)),"")</x:f>
      </x:c>
      <x:c r="C15" s="30" t="str">
        <x:f>IFERROR(INDEX('Task Inbox'!D$6:D$505,MATCH(ROWS($A$5:A15),'Task Inbox'!$R$6:$R$505,0)),"")</x:f>
      </x:c>
      <x:c r="D15" s="30" t="str">
        <x:f>IFERROR(INDEX('Task Inbox'!E$6:E$505,MATCH(ROWS($A$5:A15),'Task Inbox'!$R$6:$R$505,0)),"")</x:f>
      </x:c>
      <x:c r="E15" s="30" t="str">
        <x:f>IFERROR(INDEX('Task Inbox'!F$6:F$505,MATCH(ROWS($A$5:A15),'Task Inbox'!$R$6:$R$505,0)),"")</x:f>
      </x:c>
      <x:c r="F15" s="30" t="str">
        <x:f>IFERROR(INDEX('Task Inbox'!G$6:G$505,MATCH(ROWS($A$5:A15),'Task Inbox'!$R$6:$R$505,0)),"")</x:f>
      </x:c>
      <x:c r="G15" s="31" t="str">
        <x:f>IFERROR(INDEX('Task Inbox'!H$6:H$505,MATCH(ROWS($A$5:A15),'Task Inbox'!$R$6:$R$505,0)),"")</x:f>
      </x:c>
      <x:c r="H15" s="33" t="str">
        <x:f>IFERROR(INDEX('Task Inbox'!J$6:J$505,MATCH(ROWS($A$5:A15),'Task Inbox'!$R$6:$R$505,0)),"")</x:f>
      </x:c>
      <x:c r="I15" s="30" t="str">
        <x:f>IFERROR(INDEX('Task Inbox'!K$6:K$505,MATCH(ROWS($A$5:A15),'Task Inbox'!$R$6:$R$505,0)),"")</x:f>
      </x:c>
      <x:c r="J15" s="30" t="str">
        <x:f>IFERROR(INDEX('Task Inbox'!N$6:N$505,MATCH(ROWS($A$5:A15),'Task Inbox'!$R$6:$R$505,0)),"")</x:f>
      </x:c>
      <x:c r="K15" s="30" t="str">
        <x:f>IF($A15="","",IF($F15="Blocked","Blocked",IF($F15="Waiting on Others","Waiting",IF($G15&lt;TODAY(),"Overdue",IF($G15&lt;=TODAY()+1,"Due Soon","Priority")))))</x:f>
      </x:c>
    </x:row>
    <x:row r="16">
      <x:c r="A16" s="30" t="str">
        <x:f>IFERROR(INDEX('Task Inbox'!A$6:A$505,MATCH(ROWS($A$5:A16),'Task Inbox'!$R$6:$R$505,0)),"")</x:f>
      </x:c>
      <x:c r="B16" s="30" t="str">
        <x:f>IFERROR(INDEX('Task Inbox'!B$6:B$505,MATCH(ROWS($A$5:A16),'Task Inbox'!$R$6:$R$505,0)),"")</x:f>
      </x:c>
      <x:c r="C16" s="30" t="str">
        <x:f>IFERROR(INDEX('Task Inbox'!D$6:D$505,MATCH(ROWS($A$5:A16),'Task Inbox'!$R$6:$R$505,0)),"")</x:f>
      </x:c>
      <x:c r="D16" s="30" t="str">
        <x:f>IFERROR(INDEX('Task Inbox'!E$6:E$505,MATCH(ROWS($A$5:A16),'Task Inbox'!$R$6:$R$505,0)),"")</x:f>
      </x:c>
      <x:c r="E16" s="30" t="str">
        <x:f>IFERROR(INDEX('Task Inbox'!F$6:F$505,MATCH(ROWS($A$5:A16),'Task Inbox'!$R$6:$R$505,0)),"")</x:f>
      </x:c>
      <x:c r="F16" s="30" t="str">
        <x:f>IFERROR(INDEX('Task Inbox'!G$6:G$505,MATCH(ROWS($A$5:A16),'Task Inbox'!$R$6:$R$505,0)),"")</x:f>
      </x:c>
      <x:c r="G16" s="31" t="str">
        <x:f>IFERROR(INDEX('Task Inbox'!H$6:H$505,MATCH(ROWS($A$5:A16),'Task Inbox'!$R$6:$R$505,0)),"")</x:f>
      </x:c>
      <x:c r="H16" s="33" t="str">
        <x:f>IFERROR(INDEX('Task Inbox'!J$6:J$505,MATCH(ROWS($A$5:A16),'Task Inbox'!$R$6:$R$505,0)),"")</x:f>
      </x:c>
      <x:c r="I16" s="30" t="str">
        <x:f>IFERROR(INDEX('Task Inbox'!K$6:K$505,MATCH(ROWS($A$5:A16),'Task Inbox'!$R$6:$R$505,0)),"")</x:f>
      </x:c>
      <x:c r="J16" s="30" t="str">
        <x:f>IFERROR(INDEX('Task Inbox'!N$6:N$505,MATCH(ROWS($A$5:A16),'Task Inbox'!$R$6:$R$505,0)),"")</x:f>
      </x:c>
      <x:c r="K16" s="30" t="str">
        <x:f>IF($A16="","",IF($F16="Blocked","Blocked",IF($F16="Waiting on Others","Waiting",IF($G16&lt;TODAY(),"Overdue",IF($G16&lt;=TODAY()+1,"Due Soon","Priority")))))</x:f>
      </x:c>
    </x:row>
    <x:row r="17">
      <x:c r="A17" s="30" t="str">
        <x:f>IFERROR(INDEX('Task Inbox'!A$6:A$505,MATCH(ROWS($A$5:A17),'Task Inbox'!$R$6:$R$505,0)),"")</x:f>
      </x:c>
      <x:c r="B17" s="30" t="str">
        <x:f>IFERROR(INDEX('Task Inbox'!B$6:B$505,MATCH(ROWS($A$5:A17),'Task Inbox'!$R$6:$R$505,0)),"")</x:f>
      </x:c>
      <x:c r="C17" s="30" t="str">
        <x:f>IFERROR(INDEX('Task Inbox'!D$6:D$505,MATCH(ROWS($A$5:A17),'Task Inbox'!$R$6:$R$505,0)),"")</x:f>
      </x:c>
      <x:c r="D17" s="30" t="str">
        <x:f>IFERROR(INDEX('Task Inbox'!E$6:E$505,MATCH(ROWS($A$5:A17),'Task Inbox'!$R$6:$R$505,0)),"")</x:f>
      </x:c>
      <x:c r="E17" s="30" t="str">
        <x:f>IFERROR(INDEX('Task Inbox'!F$6:F$505,MATCH(ROWS($A$5:A17),'Task Inbox'!$R$6:$R$505,0)),"")</x:f>
      </x:c>
      <x:c r="F17" s="30" t="str">
        <x:f>IFERROR(INDEX('Task Inbox'!G$6:G$505,MATCH(ROWS($A$5:A17),'Task Inbox'!$R$6:$R$505,0)),"")</x:f>
      </x:c>
      <x:c r="G17" s="31" t="str">
        <x:f>IFERROR(INDEX('Task Inbox'!H$6:H$505,MATCH(ROWS($A$5:A17),'Task Inbox'!$R$6:$R$505,0)),"")</x:f>
      </x:c>
      <x:c r="H17" s="33" t="str">
        <x:f>IFERROR(INDEX('Task Inbox'!J$6:J$505,MATCH(ROWS($A$5:A17),'Task Inbox'!$R$6:$R$505,0)),"")</x:f>
      </x:c>
      <x:c r="I17" s="30" t="str">
        <x:f>IFERROR(INDEX('Task Inbox'!K$6:K$505,MATCH(ROWS($A$5:A17),'Task Inbox'!$R$6:$R$505,0)),"")</x:f>
      </x:c>
      <x:c r="J17" s="30" t="str">
        <x:f>IFERROR(INDEX('Task Inbox'!N$6:N$505,MATCH(ROWS($A$5:A17),'Task Inbox'!$R$6:$R$505,0)),"")</x:f>
      </x:c>
      <x:c r="K17" s="30" t="str">
        <x:f>IF($A17="","",IF($F17="Blocked","Blocked",IF($F17="Waiting on Others","Waiting",IF($G17&lt;TODAY(),"Overdue",IF($G17&lt;=TODAY()+1,"Due Soon","Priority")))))</x:f>
      </x:c>
    </x:row>
    <x:row r="18">
      <x:c r="A18" s="30" t="str">
        <x:f>IFERROR(INDEX('Task Inbox'!A$6:A$505,MATCH(ROWS($A$5:A18),'Task Inbox'!$R$6:$R$505,0)),"")</x:f>
      </x:c>
      <x:c r="B18" s="30" t="str">
        <x:f>IFERROR(INDEX('Task Inbox'!B$6:B$505,MATCH(ROWS($A$5:A18),'Task Inbox'!$R$6:$R$505,0)),"")</x:f>
      </x:c>
      <x:c r="C18" s="30" t="str">
        <x:f>IFERROR(INDEX('Task Inbox'!D$6:D$505,MATCH(ROWS($A$5:A18),'Task Inbox'!$R$6:$R$505,0)),"")</x:f>
      </x:c>
      <x:c r="D18" s="30" t="str">
        <x:f>IFERROR(INDEX('Task Inbox'!E$6:E$505,MATCH(ROWS($A$5:A18),'Task Inbox'!$R$6:$R$505,0)),"")</x:f>
      </x:c>
      <x:c r="E18" s="30" t="str">
        <x:f>IFERROR(INDEX('Task Inbox'!F$6:F$505,MATCH(ROWS($A$5:A18),'Task Inbox'!$R$6:$R$505,0)),"")</x:f>
      </x:c>
      <x:c r="F18" s="30" t="str">
        <x:f>IFERROR(INDEX('Task Inbox'!G$6:G$505,MATCH(ROWS($A$5:A18),'Task Inbox'!$R$6:$R$505,0)),"")</x:f>
      </x:c>
      <x:c r="G18" s="31" t="str">
        <x:f>IFERROR(INDEX('Task Inbox'!H$6:H$505,MATCH(ROWS($A$5:A18),'Task Inbox'!$R$6:$R$505,0)),"")</x:f>
      </x:c>
      <x:c r="H18" s="33" t="str">
        <x:f>IFERROR(INDEX('Task Inbox'!J$6:J$505,MATCH(ROWS($A$5:A18),'Task Inbox'!$R$6:$R$505,0)),"")</x:f>
      </x:c>
      <x:c r="I18" s="30" t="str">
        <x:f>IFERROR(INDEX('Task Inbox'!K$6:K$505,MATCH(ROWS($A$5:A18),'Task Inbox'!$R$6:$R$505,0)),"")</x:f>
      </x:c>
      <x:c r="J18" s="30" t="str">
        <x:f>IFERROR(INDEX('Task Inbox'!N$6:N$505,MATCH(ROWS($A$5:A18),'Task Inbox'!$R$6:$R$505,0)),"")</x:f>
      </x:c>
      <x:c r="K18" s="30" t="str">
        <x:f>IF($A18="","",IF($F18="Blocked","Blocked",IF($F18="Waiting on Others","Waiting",IF($G18&lt;TODAY(),"Overdue",IF($G18&lt;=TODAY()+1,"Due Soon","Priority")))))</x:f>
      </x:c>
    </x:row>
    <x:row r="19">
      <x:c r="A19" s="30" t="str">
        <x:f>IFERROR(INDEX('Task Inbox'!A$6:A$505,MATCH(ROWS($A$5:A19),'Task Inbox'!$R$6:$R$505,0)),"")</x:f>
      </x:c>
      <x:c r="B19" s="30" t="str">
        <x:f>IFERROR(INDEX('Task Inbox'!B$6:B$505,MATCH(ROWS($A$5:A19),'Task Inbox'!$R$6:$R$505,0)),"")</x:f>
      </x:c>
      <x:c r="C19" s="30" t="str">
        <x:f>IFERROR(INDEX('Task Inbox'!D$6:D$505,MATCH(ROWS($A$5:A19),'Task Inbox'!$R$6:$R$505,0)),"")</x:f>
      </x:c>
      <x:c r="D19" s="30" t="str">
        <x:f>IFERROR(INDEX('Task Inbox'!E$6:E$505,MATCH(ROWS($A$5:A19),'Task Inbox'!$R$6:$R$505,0)),"")</x:f>
      </x:c>
      <x:c r="E19" s="30" t="str">
        <x:f>IFERROR(INDEX('Task Inbox'!F$6:F$505,MATCH(ROWS($A$5:A19),'Task Inbox'!$R$6:$R$505,0)),"")</x:f>
      </x:c>
      <x:c r="F19" s="30" t="str">
        <x:f>IFERROR(INDEX('Task Inbox'!G$6:G$505,MATCH(ROWS($A$5:A19),'Task Inbox'!$R$6:$R$505,0)),"")</x:f>
      </x:c>
      <x:c r="G19" s="31" t="str">
        <x:f>IFERROR(INDEX('Task Inbox'!H$6:H$505,MATCH(ROWS($A$5:A19),'Task Inbox'!$R$6:$R$505,0)),"")</x:f>
      </x:c>
      <x:c r="H19" s="33" t="str">
        <x:f>IFERROR(INDEX('Task Inbox'!J$6:J$505,MATCH(ROWS($A$5:A19),'Task Inbox'!$R$6:$R$505,0)),"")</x:f>
      </x:c>
      <x:c r="I19" s="30" t="str">
        <x:f>IFERROR(INDEX('Task Inbox'!K$6:K$505,MATCH(ROWS($A$5:A19),'Task Inbox'!$R$6:$R$505,0)),"")</x:f>
      </x:c>
      <x:c r="J19" s="30" t="str">
        <x:f>IFERROR(INDEX('Task Inbox'!N$6:N$505,MATCH(ROWS($A$5:A19),'Task Inbox'!$R$6:$R$505,0)),"")</x:f>
      </x:c>
      <x:c r="K19" s="30" t="str">
        <x:f>IF($A19="","",IF($F19="Blocked","Blocked",IF($F19="Waiting on Others","Waiting",IF($G19&lt;TODAY(),"Overdue",IF($G19&lt;=TODAY()+1,"Due Soon","Priority")))))</x:f>
      </x:c>
    </x:row>
    <x:row r="20">
      <x:c r="A20" s="30" t="str">
        <x:f>IFERROR(INDEX('Task Inbox'!A$6:A$505,MATCH(ROWS($A$5:A20),'Task Inbox'!$R$6:$R$505,0)),"")</x:f>
      </x:c>
      <x:c r="B20" s="30" t="str">
        <x:f>IFERROR(INDEX('Task Inbox'!B$6:B$505,MATCH(ROWS($A$5:A20),'Task Inbox'!$R$6:$R$505,0)),"")</x:f>
      </x:c>
      <x:c r="C20" s="30" t="str">
        <x:f>IFERROR(INDEX('Task Inbox'!D$6:D$505,MATCH(ROWS($A$5:A20),'Task Inbox'!$R$6:$R$505,0)),"")</x:f>
      </x:c>
      <x:c r="D20" s="30" t="str">
        <x:f>IFERROR(INDEX('Task Inbox'!E$6:E$505,MATCH(ROWS($A$5:A20),'Task Inbox'!$R$6:$R$505,0)),"")</x:f>
      </x:c>
      <x:c r="E20" s="30" t="str">
        <x:f>IFERROR(INDEX('Task Inbox'!F$6:F$505,MATCH(ROWS($A$5:A20),'Task Inbox'!$R$6:$R$505,0)),"")</x:f>
      </x:c>
      <x:c r="F20" s="30" t="str">
        <x:f>IFERROR(INDEX('Task Inbox'!G$6:G$505,MATCH(ROWS($A$5:A20),'Task Inbox'!$R$6:$R$505,0)),"")</x:f>
      </x:c>
      <x:c r="G20" s="31" t="str">
        <x:f>IFERROR(INDEX('Task Inbox'!H$6:H$505,MATCH(ROWS($A$5:A20),'Task Inbox'!$R$6:$R$505,0)),"")</x:f>
      </x:c>
      <x:c r="H20" s="33" t="str">
        <x:f>IFERROR(INDEX('Task Inbox'!J$6:J$505,MATCH(ROWS($A$5:A20),'Task Inbox'!$R$6:$R$505,0)),"")</x:f>
      </x:c>
      <x:c r="I20" s="30" t="str">
        <x:f>IFERROR(INDEX('Task Inbox'!K$6:K$505,MATCH(ROWS($A$5:A20),'Task Inbox'!$R$6:$R$505,0)),"")</x:f>
      </x:c>
      <x:c r="J20" s="30" t="str">
        <x:f>IFERROR(INDEX('Task Inbox'!N$6:N$505,MATCH(ROWS($A$5:A20),'Task Inbox'!$R$6:$R$505,0)),"")</x:f>
      </x:c>
      <x:c r="K20" s="30" t="str">
        <x:f>IF($A20="","",IF($F20="Blocked","Blocked",IF($F20="Waiting on Others","Waiting",IF($G20&lt;TODAY(),"Overdue",IF($G20&lt;=TODAY()+1,"Due Soon","Priority")))))</x:f>
      </x:c>
    </x:row>
    <x:row r="21">
      <x:c r="A21" s="30" t="str">
        <x:f>IFERROR(INDEX('Task Inbox'!A$6:A$505,MATCH(ROWS($A$5:A21),'Task Inbox'!$R$6:$R$505,0)),"")</x:f>
      </x:c>
      <x:c r="B21" s="30" t="str">
        <x:f>IFERROR(INDEX('Task Inbox'!B$6:B$505,MATCH(ROWS($A$5:A21),'Task Inbox'!$R$6:$R$505,0)),"")</x:f>
      </x:c>
      <x:c r="C21" s="30" t="str">
        <x:f>IFERROR(INDEX('Task Inbox'!D$6:D$505,MATCH(ROWS($A$5:A21),'Task Inbox'!$R$6:$R$505,0)),"")</x:f>
      </x:c>
      <x:c r="D21" s="30" t="str">
        <x:f>IFERROR(INDEX('Task Inbox'!E$6:E$505,MATCH(ROWS($A$5:A21),'Task Inbox'!$R$6:$R$505,0)),"")</x:f>
      </x:c>
      <x:c r="E21" s="30" t="str">
        <x:f>IFERROR(INDEX('Task Inbox'!F$6:F$505,MATCH(ROWS($A$5:A21),'Task Inbox'!$R$6:$R$505,0)),"")</x:f>
      </x:c>
      <x:c r="F21" s="30" t="str">
        <x:f>IFERROR(INDEX('Task Inbox'!G$6:G$505,MATCH(ROWS($A$5:A21),'Task Inbox'!$R$6:$R$505,0)),"")</x:f>
      </x:c>
      <x:c r="G21" s="31" t="str">
        <x:f>IFERROR(INDEX('Task Inbox'!H$6:H$505,MATCH(ROWS($A$5:A21),'Task Inbox'!$R$6:$R$505,0)),"")</x:f>
      </x:c>
      <x:c r="H21" s="33" t="str">
        <x:f>IFERROR(INDEX('Task Inbox'!J$6:J$505,MATCH(ROWS($A$5:A21),'Task Inbox'!$R$6:$R$505,0)),"")</x:f>
      </x:c>
      <x:c r="I21" s="30" t="str">
        <x:f>IFERROR(INDEX('Task Inbox'!K$6:K$505,MATCH(ROWS($A$5:A21),'Task Inbox'!$R$6:$R$505,0)),"")</x:f>
      </x:c>
      <x:c r="J21" s="30" t="str">
        <x:f>IFERROR(INDEX('Task Inbox'!N$6:N$505,MATCH(ROWS($A$5:A21),'Task Inbox'!$R$6:$R$505,0)),"")</x:f>
      </x:c>
      <x:c r="K21" s="30" t="str">
        <x:f>IF($A21="","",IF($F21="Blocked","Blocked",IF($F21="Waiting on Others","Waiting",IF($G21&lt;TODAY(),"Overdue",IF($G21&lt;=TODAY()+1,"Due Soon","Priority")))))</x:f>
      </x:c>
    </x:row>
    <x:row r="22">
      <x:c r="A22" s="30" t="str">
        <x:f>IFERROR(INDEX('Task Inbox'!A$6:A$505,MATCH(ROWS($A$5:A22),'Task Inbox'!$R$6:$R$505,0)),"")</x:f>
      </x:c>
      <x:c r="B22" s="30" t="str">
        <x:f>IFERROR(INDEX('Task Inbox'!B$6:B$505,MATCH(ROWS($A$5:A22),'Task Inbox'!$R$6:$R$505,0)),"")</x:f>
      </x:c>
      <x:c r="C22" s="30" t="str">
        <x:f>IFERROR(INDEX('Task Inbox'!D$6:D$505,MATCH(ROWS($A$5:A22),'Task Inbox'!$R$6:$R$505,0)),"")</x:f>
      </x:c>
      <x:c r="D22" s="30" t="str">
        <x:f>IFERROR(INDEX('Task Inbox'!E$6:E$505,MATCH(ROWS($A$5:A22),'Task Inbox'!$R$6:$R$505,0)),"")</x:f>
      </x:c>
      <x:c r="E22" s="30" t="str">
        <x:f>IFERROR(INDEX('Task Inbox'!F$6:F$505,MATCH(ROWS($A$5:A22),'Task Inbox'!$R$6:$R$505,0)),"")</x:f>
      </x:c>
      <x:c r="F22" s="30" t="str">
        <x:f>IFERROR(INDEX('Task Inbox'!G$6:G$505,MATCH(ROWS($A$5:A22),'Task Inbox'!$R$6:$R$505,0)),"")</x:f>
      </x:c>
      <x:c r="G22" s="31" t="str">
        <x:f>IFERROR(INDEX('Task Inbox'!H$6:H$505,MATCH(ROWS($A$5:A22),'Task Inbox'!$R$6:$R$505,0)),"")</x:f>
      </x:c>
      <x:c r="H22" s="33" t="str">
        <x:f>IFERROR(INDEX('Task Inbox'!J$6:J$505,MATCH(ROWS($A$5:A22),'Task Inbox'!$R$6:$R$505,0)),"")</x:f>
      </x:c>
      <x:c r="I22" s="30" t="str">
        <x:f>IFERROR(INDEX('Task Inbox'!K$6:K$505,MATCH(ROWS($A$5:A22),'Task Inbox'!$R$6:$R$505,0)),"")</x:f>
      </x:c>
      <x:c r="J22" s="30" t="str">
        <x:f>IFERROR(INDEX('Task Inbox'!N$6:N$505,MATCH(ROWS($A$5:A22),'Task Inbox'!$R$6:$R$505,0)),"")</x:f>
      </x:c>
      <x:c r="K22" s="30" t="str">
        <x:f>IF($A22="","",IF($F22="Blocked","Blocked",IF($F22="Waiting on Others","Waiting",IF($G22&lt;TODAY(),"Overdue",IF($G22&lt;=TODAY()+1,"Due Soon","Priority")))))</x:f>
      </x:c>
    </x:row>
    <x:row r="23">
      <x:c r="A23" s="30" t="str">
        <x:f>IFERROR(INDEX('Task Inbox'!A$6:A$505,MATCH(ROWS($A$5:A23),'Task Inbox'!$R$6:$R$505,0)),"")</x:f>
      </x:c>
      <x:c r="B23" s="30" t="str">
        <x:f>IFERROR(INDEX('Task Inbox'!B$6:B$505,MATCH(ROWS($A$5:A23),'Task Inbox'!$R$6:$R$505,0)),"")</x:f>
      </x:c>
      <x:c r="C23" s="30" t="str">
        <x:f>IFERROR(INDEX('Task Inbox'!D$6:D$505,MATCH(ROWS($A$5:A23),'Task Inbox'!$R$6:$R$505,0)),"")</x:f>
      </x:c>
      <x:c r="D23" s="30" t="str">
        <x:f>IFERROR(INDEX('Task Inbox'!E$6:E$505,MATCH(ROWS($A$5:A23),'Task Inbox'!$R$6:$R$505,0)),"")</x:f>
      </x:c>
      <x:c r="E23" s="30" t="str">
        <x:f>IFERROR(INDEX('Task Inbox'!F$6:F$505,MATCH(ROWS($A$5:A23),'Task Inbox'!$R$6:$R$505,0)),"")</x:f>
      </x:c>
      <x:c r="F23" s="30" t="str">
        <x:f>IFERROR(INDEX('Task Inbox'!G$6:G$505,MATCH(ROWS($A$5:A23),'Task Inbox'!$R$6:$R$505,0)),"")</x:f>
      </x:c>
      <x:c r="G23" s="31" t="str">
        <x:f>IFERROR(INDEX('Task Inbox'!H$6:H$505,MATCH(ROWS($A$5:A23),'Task Inbox'!$R$6:$R$505,0)),"")</x:f>
      </x:c>
      <x:c r="H23" s="33" t="str">
        <x:f>IFERROR(INDEX('Task Inbox'!J$6:J$505,MATCH(ROWS($A$5:A23),'Task Inbox'!$R$6:$R$505,0)),"")</x:f>
      </x:c>
      <x:c r="I23" s="30" t="str">
        <x:f>IFERROR(INDEX('Task Inbox'!K$6:K$505,MATCH(ROWS($A$5:A23),'Task Inbox'!$R$6:$R$505,0)),"")</x:f>
      </x:c>
      <x:c r="J23" s="30" t="str">
        <x:f>IFERROR(INDEX('Task Inbox'!N$6:N$505,MATCH(ROWS($A$5:A23),'Task Inbox'!$R$6:$R$505,0)),"")</x:f>
      </x:c>
      <x:c r="K23" s="30" t="str">
        <x:f>IF($A23="","",IF($F23="Blocked","Blocked",IF($F23="Waiting on Others","Waiting",IF($G23&lt;TODAY(),"Overdue",IF($G23&lt;=TODAY()+1,"Due Soon","Priority")))))</x:f>
      </x:c>
    </x:row>
    <x:row r="24">
      <x:c r="A24" s="30" t="str">
        <x:f>IFERROR(INDEX('Task Inbox'!A$6:A$505,MATCH(ROWS($A$5:A24),'Task Inbox'!$R$6:$R$505,0)),"")</x:f>
      </x:c>
      <x:c r="B24" s="30" t="str">
        <x:f>IFERROR(INDEX('Task Inbox'!B$6:B$505,MATCH(ROWS($A$5:A24),'Task Inbox'!$R$6:$R$505,0)),"")</x:f>
      </x:c>
      <x:c r="C24" s="30" t="str">
        <x:f>IFERROR(INDEX('Task Inbox'!D$6:D$505,MATCH(ROWS($A$5:A24),'Task Inbox'!$R$6:$R$505,0)),"")</x:f>
      </x:c>
      <x:c r="D24" s="30" t="str">
        <x:f>IFERROR(INDEX('Task Inbox'!E$6:E$505,MATCH(ROWS($A$5:A24),'Task Inbox'!$R$6:$R$505,0)),"")</x:f>
      </x:c>
      <x:c r="E24" s="30" t="str">
        <x:f>IFERROR(INDEX('Task Inbox'!F$6:F$505,MATCH(ROWS($A$5:A24),'Task Inbox'!$R$6:$R$505,0)),"")</x:f>
      </x:c>
      <x:c r="F24" s="30" t="str">
        <x:f>IFERROR(INDEX('Task Inbox'!G$6:G$505,MATCH(ROWS($A$5:A24),'Task Inbox'!$R$6:$R$505,0)),"")</x:f>
      </x:c>
      <x:c r="G24" s="31" t="str">
        <x:f>IFERROR(INDEX('Task Inbox'!H$6:H$505,MATCH(ROWS($A$5:A24),'Task Inbox'!$R$6:$R$505,0)),"")</x:f>
      </x:c>
      <x:c r="H24" s="33" t="str">
        <x:f>IFERROR(INDEX('Task Inbox'!J$6:J$505,MATCH(ROWS($A$5:A24),'Task Inbox'!$R$6:$R$505,0)),"")</x:f>
      </x:c>
      <x:c r="I24" s="30" t="str">
        <x:f>IFERROR(INDEX('Task Inbox'!K$6:K$505,MATCH(ROWS($A$5:A24),'Task Inbox'!$R$6:$R$505,0)),"")</x:f>
      </x:c>
      <x:c r="J24" s="30" t="str">
        <x:f>IFERROR(INDEX('Task Inbox'!N$6:N$505,MATCH(ROWS($A$5:A24),'Task Inbox'!$R$6:$R$505,0)),"")</x:f>
      </x:c>
      <x:c r="K24" s="30" t="str">
        <x:f>IF($A24="","",IF($F24="Blocked","Blocked",IF($F24="Waiting on Others","Waiting",IF($G24&lt;TODAY(),"Overdue",IF($G24&lt;=TODAY()+1,"Due Soon","Priority")))))</x:f>
      </x:c>
    </x:row>
    <x:row r="25">
      <x:c r="A25" s="30" t="str">
        <x:f>IFERROR(INDEX('Task Inbox'!A$6:A$505,MATCH(ROWS($A$5:A25),'Task Inbox'!$R$6:$R$505,0)),"")</x:f>
      </x:c>
      <x:c r="B25" s="30" t="str">
        <x:f>IFERROR(INDEX('Task Inbox'!B$6:B$505,MATCH(ROWS($A$5:A25),'Task Inbox'!$R$6:$R$505,0)),"")</x:f>
      </x:c>
      <x:c r="C25" s="30" t="str">
        <x:f>IFERROR(INDEX('Task Inbox'!D$6:D$505,MATCH(ROWS($A$5:A25),'Task Inbox'!$R$6:$R$505,0)),"")</x:f>
      </x:c>
      <x:c r="D25" s="30" t="str">
        <x:f>IFERROR(INDEX('Task Inbox'!E$6:E$505,MATCH(ROWS($A$5:A25),'Task Inbox'!$R$6:$R$505,0)),"")</x:f>
      </x:c>
      <x:c r="E25" s="30" t="str">
        <x:f>IFERROR(INDEX('Task Inbox'!F$6:F$505,MATCH(ROWS($A$5:A25),'Task Inbox'!$R$6:$R$505,0)),"")</x:f>
      </x:c>
      <x:c r="F25" s="30" t="str">
        <x:f>IFERROR(INDEX('Task Inbox'!G$6:G$505,MATCH(ROWS($A$5:A25),'Task Inbox'!$R$6:$R$505,0)),"")</x:f>
      </x:c>
      <x:c r="G25" s="31" t="str">
        <x:f>IFERROR(INDEX('Task Inbox'!H$6:H$505,MATCH(ROWS($A$5:A25),'Task Inbox'!$R$6:$R$505,0)),"")</x:f>
      </x:c>
      <x:c r="H25" s="33" t="str">
        <x:f>IFERROR(INDEX('Task Inbox'!J$6:J$505,MATCH(ROWS($A$5:A25),'Task Inbox'!$R$6:$R$505,0)),"")</x:f>
      </x:c>
      <x:c r="I25" s="30" t="str">
        <x:f>IFERROR(INDEX('Task Inbox'!K$6:K$505,MATCH(ROWS($A$5:A25),'Task Inbox'!$R$6:$R$505,0)),"")</x:f>
      </x:c>
      <x:c r="J25" s="30" t="str">
        <x:f>IFERROR(INDEX('Task Inbox'!N$6:N$505,MATCH(ROWS($A$5:A25),'Task Inbox'!$R$6:$R$505,0)),"")</x:f>
      </x:c>
      <x:c r="K25" s="30" t="str">
        <x:f>IF($A25="","",IF($F25="Blocked","Blocked",IF($F25="Waiting on Others","Waiting",IF($G25&lt;TODAY(),"Overdue",IF($G25&lt;=TODAY()+1,"Due Soon","Priority")))))</x:f>
      </x:c>
    </x:row>
    <x:row r="26">
      <x:c r="A26" s="30" t="str">
        <x:f>IFERROR(INDEX('Task Inbox'!A$6:A$505,MATCH(ROWS($A$5:A26),'Task Inbox'!$R$6:$R$505,0)),"")</x:f>
      </x:c>
      <x:c r="B26" s="30" t="str">
        <x:f>IFERROR(INDEX('Task Inbox'!B$6:B$505,MATCH(ROWS($A$5:A26),'Task Inbox'!$R$6:$R$505,0)),"")</x:f>
      </x:c>
      <x:c r="C26" s="30" t="str">
        <x:f>IFERROR(INDEX('Task Inbox'!D$6:D$505,MATCH(ROWS($A$5:A26),'Task Inbox'!$R$6:$R$505,0)),"")</x:f>
      </x:c>
      <x:c r="D26" s="30" t="str">
        <x:f>IFERROR(INDEX('Task Inbox'!E$6:E$505,MATCH(ROWS($A$5:A26),'Task Inbox'!$R$6:$R$505,0)),"")</x:f>
      </x:c>
      <x:c r="E26" s="30" t="str">
        <x:f>IFERROR(INDEX('Task Inbox'!F$6:F$505,MATCH(ROWS($A$5:A26),'Task Inbox'!$R$6:$R$505,0)),"")</x:f>
      </x:c>
      <x:c r="F26" s="30" t="str">
        <x:f>IFERROR(INDEX('Task Inbox'!G$6:G$505,MATCH(ROWS($A$5:A26),'Task Inbox'!$R$6:$R$505,0)),"")</x:f>
      </x:c>
      <x:c r="G26" s="31" t="str">
        <x:f>IFERROR(INDEX('Task Inbox'!H$6:H$505,MATCH(ROWS($A$5:A26),'Task Inbox'!$R$6:$R$505,0)),"")</x:f>
      </x:c>
      <x:c r="H26" s="33" t="str">
        <x:f>IFERROR(INDEX('Task Inbox'!J$6:J$505,MATCH(ROWS($A$5:A26),'Task Inbox'!$R$6:$R$505,0)),"")</x:f>
      </x:c>
      <x:c r="I26" s="30" t="str">
        <x:f>IFERROR(INDEX('Task Inbox'!K$6:K$505,MATCH(ROWS($A$5:A26),'Task Inbox'!$R$6:$R$505,0)),"")</x:f>
      </x:c>
      <x:c r="J26" s="30" t="str">
        <x:f>IFERROR(INDEX('Task Inbox'!N$6:N$505,MATCH(ROWS($A$5:A26),'Task Inbox'!$R$6:$R$505,0)),"")</x:f>
      </x:c>
      <x:c r="K26" s="30" t="str">
        <x:f>IF($A26="","",IF($F26="Blocked","Blocked",IF($F26="Waiting on Others","Waiting",IF($G26&lt;TODAY(),"Overdue",IF($G26&lt;=TODAY()+1,"Due Soon","Priority")))))</x:f>
      </x:c>
    </x:row>
    <x:row r="27">
      <x:c r="A27" s="30" t="str">
        <x:f>IFERROR(INDEX('Task Inbox'!A$6:A$505,MATCH(ROWS($A$5:A27),'Task Inbox'!$R$6:$R$505,0)),"")</x:f>
      </x:c>
      <x:c r="B27" s="30" t="str">
        <x:f>IFERROR(INDEX('Task Inbox'!B$6:B$505,MATCH(ROWS($A$5:A27),'Task Inbox'!$R$6:$R$505,0)),"")</x:f>
      </x:c>
      <x:c r="C27" s="30" t="str">
        <x:f>IFERROR(INDEX('Task Inbox'!D$6:D$505,MATCH(ROWS($A$5:A27),'Task Inbox'!$R$6:$R$505,0)),"")</x:f>
      </x:c>
      <x:c r="D27" s="30" t="str">
        <x:f>IFERROR(INDEX('Task Inbox'!E$6:E$505,MATCH(ROWS($A$5:A27),'Task Inbox'!$R$6:$R$505,0)),"")</x:f>
      </x:c>
      <x:c r="E27" s="30" t="str">
        <x:f>IFERROR(INDEX('Task Inbox'!F$6:F$505,MATCH(ROWS($A$5:A27),'Task Inbox'!$R$6:$R$505,0)),"")</x:f>
      </x:c>
      <x:c r="F27" s="30" t="str">
        <x:f>IFERROR(INDEX('Task Inbox'!G$6:G$505,MATCH(ROWS($A$5:A27),'Task Inbox'!$R$6:$R$505,0)),"")</x:f>
      </x:c>
      <x:c r="G27" s="31" t="str">
        <x:f>IFERROR(INDEX('Task Inbox'!H$6:H$505,MATCH(ROWS($A$5:A27),'Task Inbox'!$R$6:$R$505,0)),"")</x:f>
      </x:c>
      <x:c r="H27" s="33" t="str">
        <x:f>IFERROR(INDEX('Task Inbox'!J$6:J$505,MATCH(ROWS($A$5:A27),'Task Inbox'!$R$6:$R$505,0)),"")</x:f>
      </x:c>
      <x:c r="I27" s="30" t="str">
        <x:f>IFERROR(INDEX('Task Inbox'!K$6:K$505,MATCH(ROWS($A$5:A27),'Task Inbox'!$R$6:$R$505,0)),"")</x:f>
      </x:c>
      <x:c r="J27" s="30" t="str">
        <x:f>IFERROR(INDEX('Task Inbox'!N$6:N$505,MATCH(ROWS($A$5:A27),'Task Inbox'!$R$6:$R$505,0)),"")</x:f>
      </x:c>
      <x:c r="K27" s="30" t="str">
        <x:f>IF($A27="","",IF($F27="Blocked","Blocked",IF($F27="Waiting on Others","Waiting",IF($G27&lt;TODAY(),"Overdue",IF($G27&lt;=TODAY()+1,"Due Soon","Priority")))))</x:f>
      </x:c>
    </x:row>
    <x:row r="28">
      <x:c r="A28" s="30" t="str">
        <x:f>IFERROR(INDEX('Task Inbox'!A$6:A$505,MATCH(ROWS($A$5:A28),'Task Inbox'!$R$6:$R$505,0)),"")</x:f>
      </x:c>
      <x:c r="B28" s="30" t="str">
        <x:f>IFERROR(INDEX('Task Inbox'!B$6:B$505,MATCH(ROWS($A$5:A28),'Task Inbox'!$R$6:$R$505,0)),"")</x:f>
      </x:c>
      <x:c r="C28" s="30" t="str">
        <x:f>IFERROR(INDEX('Task Inbox'!D$6:D$505,MATCH(ROWS($A$5:A28),'Task Inbox'!$R$6:$R$505,0)),"")</x:f>
      </x:c>
      <x:c r="D28" s="30" t="str">
        <x:f>IFERROR(INDEX('Task Inbox'!E$6:E$505,MATCH(ROWS($A$5:A28),'Task Inbox'!$R$6:$R$505,0)),"")</x:f>
      </x:c>
      <x:c r="E28" s="30" t="str">
        <x:f>IFERROR(INDEX('Task Inbox'!F$6:F$505,MATCH(ROWS($A$5:A28),'Task Inbox'!$R$6:$R$505,0)),"")</x:f>
      </x:c>
      <x:c r="F28" s="30" t="str">
        <x:f>IFERROR(INDEX('Task Inbox'!G$6:G$505,MATCH(ROWS($A$5:A28),'Task Inbox'!$R$6:$R$505,0)),"")</x:f>
      </x:c>
      <x:c r="G28" s="31" t="str">
        <x:f>IFERROR(INDEX('Task Inbox'!H$6:H$505,MATCH(ROWS($A$5:A28),'Task Inbox'!$R$6:$R$505,0)),"")</x:f>
      </x:c>
      <x:c r="H28" s="33" t="str">
        <x:f>IFERROR(INDEX('Task Inbox'!J$6:J$505,MATCH(ROWS($A$5:A28),'Task Inbox'!$R$6:$R$505,0)),"")</x:f>
      </x:c>
      <x:c r="I28" s="30" t="str">
        <x:f>IFERROR(INDEX('Task Inbox'!K$6:K$505,MATCH(ROWS($A$5:A28),'Task Inbox'!$R$6:$R$505,0)),"")</x:f>
      </x:c>
      <x:c r="J28" s="30" t="str">
        <x:f>IFERROR(INDEX('Task Inbox'!N$6:N$505,MATCH(ROWS($A$5:A28),'Task Inbox'!$R$6:$R$505,0)),"")</x:f>
      </x:c>
      <x:c r="K28" s="30" t="str">
        <x:f>IF($A28="","",IF($F28="Blocked","Blocked",IF($F28="Waiting on Others","Waiting",IF($G28&lt;TODAY(),"Overdue",IF($G28&lt;=TODAY()+1,"Due Soon","Priority")))))</x:f>
      </x:c>
    </x:row>
    <x:row r="29">
      <x:c r="A29" s="30" t="str">
        <x:f>IFERROR(INDEX('Task Inbox'!A$6:A$505,MATCH(ROWS($A$5:A29),'Task Inbox'!$R$6:$R$505,0)),"")</x:f>
      </x:c>
      <x:c r="B29" s="30" t="str">
        <x:f>IFERROR(INDEX('Task Inbox'!B$6:B$505,MATCH(ROWS($A$5:A29),'Task Inbox'!$R$6:$R$505,0)),"")</x:f>
      </x:c>
      <x:c r="C29" s="30" t="str">
        <x:f>IFERROR(INDEX('Task Inbox'!D$6:D$505,MATCH(ROWS($A$5:A29),'Task Inbox'!$R$6:$R$505,0)),"")</x:f>
      </x:c>
      <x:c r="D29" s="30" t="str">
        <x:f>IFERROR(INDEX('Task Inbox'!E$6:E$505,MATCH(ROWS($A$5:A29),'Task Inbox'!$R$6:$R$505,0)),"")</x:f>
      </x:c>
      <x:c r="E29" s="30" t="str">
        <x:f>IFERROR(INDEX('Task Inbox'!F$6:F$505,MATCH(ROWS($A$5:A29),'Task Inbox'!$R$6:$R$505,0)),"")</x:f>
      </x:c>
      <x:c r="F29" s="30" t="str">
        <x:f>IFERROR(INDEX('Task Inbox'!G$6:G$505,MATCH(ROWS($A$5:A29),'Task Inbox'!$R$6:$R$505,0)),"")</x:f>
      </x:c>
      <x:c r="G29" s="31" t="str">
        <x:f>IFERROR(INDEX('Task Inbox'!H$6:H$505,MATCH(ROWS($A$5:A29),'Task Inbox'!$R$6:$R$505,0)),"")</x:f>
      </x:c>
      <x:c r="H29" s="33" t="str">
        <x:f>IFERROR(INDEX('Task Inbox'!J$6:J$505,MATCH(ROWS($A$5:A29),'Task Inbox'!$R$6:$R$505,0)),"")</x:f>
      </x:c>
      <x:c r="I29" s="30" t="str">
        <x:f>IFERROR(INDEX('Task Inbox'!K$6:K$505,MATCH(ROWS($A$5:A29),'Task Inbox'!$R$6:$R$505,0)),"")</x:f>
      </x:c>
      <x:c r="J29" s="30" t="str">
        <x:f>IFERROR(INDEX('Task Inbox'!N$6:N$505,MATCH(ROWS($A$5:A29),'Task Inbox'!$R$6:$R$505,0)),"")</x:f>
      </x:c>
      <x:c r="K29" s="30" t="str">
        <x:f>IF($A29="","",IF($F29="Blocked","Blocked",IF($F29="Waiting on Others","Waiting",IF($G29&lt;TODAY(),"Overdue",IF($G29&lt;=TODAY()+1,"Due Soon","Priority")))))</x:f>
      </x:c>
    </x:row>
    <x:row r="30">
      <x:c r="A30" s="30" t="str">
        <x:f>IFERROR(INDEX('Task Inbox'!A$6:A$505,MATCH(ROWS($A$5:A30),'Task Inbox'!$R$6:$R$505,0)),"")</x:f>
      </x:c>
      <x:c r="B30" s="30" t="str">
        <x:f>IFERROR(INDEX('Task Inbox'!B$6:B$505,MATCH(ROWS($A$5:A30),'Task Inbox'!$R$6:$R$505,0)),"")</x:f>
      </x:c>
      <x:c r="C30" s="30" t="str">
        <x:f>IFERROR(INDEX('Task Inbox'!D$6:D$505,MATCH(ROWS($A$5:A30),'Task Inbox'!$R$6:$R$505,0)),"")</x:f>
      </x:c>
      <x:c r="D30" s="30" t="str">
        <x:f>IFERROR(INDEX('Task Inbox'!E$6:E$505,MATCH(ROWS($A$5:A30),'Task Inbox'!$R$6:$R$505,0)),"")</x:f>
      </x:c>
      <x:c r="E30" s="30" t="str">
        <x:f>IFERROR(INDEX('Task Inbox'!F$6:F$505,MATCH(ROWS($A$5:A30),'Task Inbox'!$R$6:$R$505,0)),"")</x:f>
      </x:c>
      <x:c r="F30" s="30" t="str">
        <x:f>IFERROR(INDEX('Task Inbox'!G$6:G$505,MATCH(ROWS($A$5:A30),'Task Inbox'!$R$6:$R$505,0)),"")</x:f>
      </x:c>
      <x:c r="G30" s="31" t="str">
        <x:f>IFERROR(INDEX('Task Inbox'!H$6:H$505,MATCH(ROWS($A$5:A30),'Task Inbox'!$R$6:$R$505,0)),"")</x:f>
      </x:c>
      <x:c r="H30" s="33" t="str">
        <x:f>IFERROR(INDEX('Task Inbox'!J$6:J$505,MATCH(ROWS($A$5:A30),'Task Inbox'!$R$6:$R$505,0)),"")</x:f>
      </x:c>
      <x:c r="I30" s="30" t="str">
        <x:f>IFERROR(INDEX('Task Inbox'!K$6:K$505,MATCH(ROWS($A$5:A30),'Task Inbox'!$R$6:$R$505,0)),"")</x:f>
      </x:c>
      <x:c r="J30" s="30" t="str">
        <x:f>IFERROR(INDEX('Task Inbox'!N$6:N$505,MATCH(ROWS($A$5:A30),'Task Inbox'!$R$6:$R$505,0)),"")</x:f>
      </x:c>
      <x:c r="K30" s="30" t="str">
        <x:f>IF($A30="","",IF($F30="Blocked","Blocked",IF($F30="Waiting on Others","Waiting",IF($G30&lt;TODAY(),"Overdue",IF($G30&lt;=TODAY()+1,"Due Soon","Priority")))))</x:f>
      </x:c>
    </x:row>
    <x:row r="31">
      <x:c r="A31" s="26" t="str">
        <x:f>IFERROR(INDEX('Task Inbox'!A$6:A$505,MATCH(ROWS($A$5:A31),'Task Inbox'!$R$6:$R$505,0)),"")</x:f>
      </x:c>
      <x:c r="B31" s="26" t="str">
        <x:f>IFERROR(INDEX('Task Inbox'!B$6:B$505,MATCH(ROWS($A$5:A31),'Task Inbox'!$R$6:$R$505,0)),"")</x:f>
      </x:c>
      <x:c r="C31" s="26" t="str">
        <x:f>IFERROR(INDEX('Task Inbox'!D$6:D$505,MATCH(ROWS($A$5:A31),'Task Inbox'!$R$6:$R$505,0)),"")</x:f>
      </x:c>
      <x:c r="D31" s="26" t="str">
        <x:f>IFERROR(INDEX('Task Inbox'!E$6:E$505,MATCH(ROWS($A$5:A31),'Task Inbox'!$R$6:$R$505,0)),"")</x:f>
      </x:c>
      <x:c r="E31" s="26" t="str">
        <x:f>IFERROR(INDEX('Task Inbox'!F$6:F$505,MATCH(ROWS($A$5:A31),'Task Inbox'!$R$6:$R$505,0)),"")</x:f>
      </x:c>
      <x:c r="F31" s="26" t="str">
        <x:f>IFERROR(INDEX('Task Inbox'!G$6:G$505,MATCH(ROWS($A$5:A31),'Task Inbox'!$R$6:$R$505,0)),"")</x:f>
      </x:c>
      <x:c r="G31" s="35" t="str">
        <x:f>IFERROR(INDEX('Task Inbox'!H$6:H$505,MATCH(ROWS($A$5:A31),'Task Inbox'!$R$6:$R$505,0)),"")</x:f>
      </x:c>
      <x:c r="H31" s="36" t="str">
        <x:f>IFERROR(INDEX('Task Inbox'!J$6:J$505,MATCH(ROWS($A$5:A31),'Task Inbox'!$R$6:$R$505,0)),"")</x:f>
      </x:c>
      <x:c r="I31" s="26" t="str">
        <x:f>IFERROR(INDEX('Task Inbox'!K$6:K$505,MATCH(ROWS($A$5:A31),'Task Inbox'!$R$6:$R$505,0)),"")</x:f>
      </x:c>
      <x:c r="J31" s="26" t="str">
        <x:f>IFERROR(INDEX('Task Inbox'!N$6:N$505,MATCH(ROWS($A$5:A31),'Task Inbox'!$R$6:$R$505,0)),"")</x:f>
      </x:c>
      <x:c r="K31" s="26" t="str">
        <x:f>IF($A31="","",IF($F31="Blocked","Blocked",IF($F31="Waiting on Others","Waiting",IF($G31&lt;TODAY(),"Overdue",IF($G31&lt;=TODAY()+1,"Due Soon","Priority")))))</x:f>
      </x:c>
    </x:row>
    <x:row r="32">
      <x:c r="A32" s="26" t="str">
        <x:f>IFERROR(INDEX('Task Inbox'!A$6:A$505,MATCH(ROWS($A$5:A32),'Task Inbox'!$R$6:$R$505,0)),"")</x:f>
      </x:c>
      <x:c r="B32" s="26" t="str">
        <x:f>IFERROR(INDEX('Task Inbox'!B$6:B$505,MATCH(ROWS($A$5:A32),'Task Inbox'!$R$6:$R$505,0)),"")</x:f>
      </x:c>
      <x:c r="C32" s="26" t="str">
        <x:f>IFERROR(INDEX('Task Inbox'!D$6:D$505,MATCH(ROWS($A$5:A32),'Task Inbox'!$R$6:$R$505,0)),"")</x:f>
      </x:c>
      <x:c r="D32" s="26" t="str">
        <x:f>IFERROR(INDEX('Task Inbox'!E$6:E$505,MATCH(ROWS($A$5:A32),'Task Inbox'!$R$6:$R$505,0)),"")</x:f>
      </x:c>
      <x:c r="E32" s="26" t="str">
        <x:f>IFERROR(INDEX('Task Inbox'!F$6:F$505,MATCH(ROWS($A$5:A32),'Task Inbox'!$R$6:$R$505,0)),"")</x:f>
      </x:c>
      <x:c r="F32" s="26" t="str">
        <x:f>IFERROR(INDEX('Task Inbox'!G$6:G$505,MATCH(ROWS($A$5:A32),'Task Inbox'!$R$6:$R$505,0)),"")</x:f>
      </x:c>
      <x:c r="G32" s="35" t="str">
        <x:f>IFERROR(INDEX('Task Inbox'!H$6:H$505,MATCH(ROWS($A$5:A32),'Task Inbox'!$R$6:$R$505,0)),"")</x:f>
      </x:c>
      <x:c r="H32" s="36" t="str">
        <x:f>IFERROR(INDEX('Task Inbox'!J$6:J$505,MATCH(ROWS($A$5:A32),'Task Inbox'!$R$6:$R$505,0)),"")</x:f>
      </x:c>
      <x:c r="I32" s="26" t="str">
        <x:f>IFERROR(INDEX('Task Inbox'!K$6:K$505,MATCH(ROWS($A$5:A32),'Task Inbox'!$R$6:$R$505,0)),"")</x:f>
      </x:c>
      <x:c r="J32" s="26" t="str">
        <x:f>IFERROR(INDEX('Task Inbox'!N$6:N$505,MATCH(ROWS($A$5:A32),'Task Inbox'!$R$6:$R$505,0)),"")</x:f>
      </x:c>
      <x:c r="K32" s="26" t="str">
        <x:f>IF($A32="","",IF($F32="Blocked","Blocked",IF($F32="Waiting on Others","Waiting",IF($G32&lt;TODAY(),"Overdue",IF($G32&lt;=TODAY()+1,"Due Soon","Priority")))))</x:f>
      </x:c>
    </x:row>
    <x:row r="33">
      <x:c r="A33" s="26" t="str">
        <x:f>IFERROR(INDEX('Task Inbox'!A$6:A$505,MATCH(ROWS($A$5:A33),'Task Inbox'!$R$6:$R$505,0)),"")</x:f>
      </x:c>
      <x:c r="B33" s="26" t="str">
        <x:f>IFERROR(INDEX('Task Inbox'!B$6:B$505,MATCH(ROWS($A$5:A33),'Task Inbox'!$R$6:$R$505,0)),"")</x:f>
      </x:c>
      <x:c r="C33" s="26" t="str">
        <x:f>IFERROR(INDEX('Task Inbox'!D$6:D$505,MATCH(ROWS($A$5:A33),'Task Inbox'!$R$6:$R$505,0)),"")</x:f>
      </x:c>
      <x:c r="D33" s="26" t="str">
        <x:f>IFERROR(INDEX('Task Inbox'!E$6:E$505,MATCH(ROWS($A$5:A33),'Task Inbox'!$R$6:$R$505,0)),"")</x:f>
      </x:c>
      <x:c r="E33" s="26" t="str">
        <x:f>IFERROR(INDEX('Task Inbox'!F$6:F$505,MATCH(ROWS($A$5:A33),'Task Inbox'!$R$6:$R$505,0)),"")</x:f>
      </x:c>
      <x:c r="F33" s="26" t="str">
        <x:f>IFERROR(INDEX('Task Inbox'!G$6:G$505,MATCH(ROWS($A$5:A33),'Task Inbox'!$R$6:$R$505,0)),"")</x:f>
      </x:c>
      <x:c r="G33" s="35" t="str">
        <x:f>IFERROR(INDEX('Task Inbox'!H$6:H$505,MATCH(ROWS($A$5:A33),'Task Inbox'!$R$6:$R$505,0)),"")</x:f>
      </x:c>
      <x:c r="H33" s="36" t="str">
        <x:f>IFERROR(INDEX('Task Inbox'!J$6:J$505,MATCH(ROWS($A$5:A33),'Task Inbox'!$R$6:$R$505,0)),"")</x:f>
      </x:c>
      <x:c r="I33" s="26" t="str">
        <x:f>IFERROR(INDEX('Task Inbox'!K$6:K$505,MATCH(ROWS($A$5:A33),'Task Inbox'!$R$6:$R$505,0)),"")</x:f>
      </x:c>
      <x:c r="J33" s="26" t="str">
        <x:f>IFERROR(INDEX('Task Inbox'!N$6:N$505,MATCH(ROWS($A$5:A33),'Task Inbox'!$R$6:$R$505,0)),"")</x:f>
      </x:c>
      <x:c r="K33" s="26" t="str">
        <x:f>IF($A33="","",IF($F33="Blocked","Blocked",IF($F33="Waiting on Others","Waiting",IF($G33&lt;TODAY(),"Overdue",IF($G33&lt;=TODAY()+1,"Due Soon","Priority")))))</x:f>
      </x:c>
    </x:row>
    <x:row r="34">
      <x:c r="A34" s="26" t="str">
        <x:f>IFERROR(INDEX('Task Inbox'!A$6:A$505,MATCH(ROWS($A$5:A34),'Task Inbox'!$R$6:$R$505,0)),"")</x:f>
      </x:c>
      <x:c r="B34" s="26" t="str">
        <x:f>IFERROR(INDEX('Task Inbox'!B$6:B$505,MATCH(ROWS($A$5:A34),'Task Inbox'!$R$6:$R$505,0)),"")</x:f>
      </x:c>
      <x:c r="C34" s="26" t="str">
        <x:f>IFERROR(INDEX('Task Inbox'!D$6:D$505,MATCH(ROWS($A$5:A34),'Task Inbox'!$R$6:$R$505,0)),"")</x:f>
      </x:c>
      <x:c r="D34" s="26" t="str">
        <x:f>IFERROR(INDEX('Task Inbox'!E$6:E$505,MATCH(ROWS($A$5:A34),'Task Inbox'!$R$6:$R$505,0)),"")</x:f>
      </x:c>
      <x:c r="E34" s="26" t="str">
        <x:f>IFERROR(INDEX('Task Inbox'!F$6:F$505,MATCH(ROWS($A$5:A34),'Task Inbox'!$R$6:$R$505,0)),"")</x:f>
      </x:c>
      <x:c r="F34" s="26" t="str">
        <x:f>IFERROR(INDEX('Task Inbox'!G$6:G$505,MATCH(ROWS($A$5:A34),'Task Inbox'!$R$6:$R$505,0)),"")</x:f>
      </x:c>
      <x:c r="G34" s="35" t="str">
        <x:f>IFERROR(INDEX('Task Inbox'!H$6:H$505,MATCH(ROWS($A$5:A34),'Task Inbox'!$R$6:$R$505,0)),"")</x:f>
      </x:c>
      <x:c r="H34" s="36" t="str">
        <x:f>IFERROR(INDEX('Task Inbox'!J$6:J$505,MATCH(ROWS($A$5:A34),'Task Inbox'!$R$6:$R$505,0)),"")</x:f>
      </x:c>
      <x:c r="I34" s="26" t="str">
        <x:f>IFERROR(INDEX('Task Inbox'!K$6:K$505,MATCH(ROWS($A$5:A34),'Task Inbox'!$R$6:$R$505,0)),"")</x:f>
      </x:c>
      <x:c r="J34" s="26" t="str">
        <x:f>IFERROR(INDEX('Task Inbox'!N$6:N$505,MATCH(ROWS($A$5:A34),'Task Inbox'!$R$6:$R$505,0)),"")</x:f>
      </x:c>
      <x:c r="K34" s="26" t="str">
        <x:f>IF($A34="","",IF($F34="Blocked","Blocked",IF($F34="Waiting on Others","Waiting",IF($G34&lt;TODAY(),"Overdue",IF($G34&lt;=TODAY()+1,"Due Soon","Priority")))))</x:f>
      </x:c>
    </x:row>
    <x:row r="35">
      <x:c r="A35" s="26" t="str">
        <x:f>IFERROR(INDEX('Task Inbox'!A$6:A$505,MATCH(ROWS($A$5:A35),'Task Inbox'!$R$6:$R$505,0)),"")</x:f>
      </x:c>
      <x:c r="B35" s="26" t="str">
        <x:f>IFERROR(INDEX('Task Inbox'!B$6:B$505,MATCH(ROWS($A$5:A35),'Task Inbox'!$R$6:$R$505,0)),"")</x:f>
      </x:c>
      <x:c r="C35" s="26" t="str">
        <x:f>IFERROR(INDEX('Task Inbox'!D$6:D$505,MATCH(ROWS($A$5:A35),'Task Inbox'!$R$6:$R$505,0)),"")</x:f>
      </x:c>
      <x:c r="D35" s="26" t="str">
        <x:f>IFERROR(INDEX('Task Inbox'!E$6:E$505,MATCH(ROWS($A$5:A35),'Task Inbox'!$R$6:$R$505,0)),"")</x:f>
      </x:c>
      <x:c r="E35" s="26" t="str">
        <x:f>IFERROR(INDEX('Task Inbox'!F$6:F$505,MATCH(ROWS($A$5:A35),'Task Inbox'!$R$6:$R$505,0)),"")</x:f>
      </x:c>
      <x:c r="F35" s="26" t="str">
        <x:f>IFERROR(INDEX('Task Inbox'!G$6:G$505,MATCH(ROWS($A$5:A35),'Task Inbox'!$R$6:$R$505,0)),"")</x:f>
      </x:c>
      <x:c r="G35" s="35" t="str">
        <x:f>IFERROR(INDEX('Task Inbox'!H$6:H$505,MATCH(ROWS($A$5:A35),'Task Inbox'!$R$6:$R$505,0)),"")</x:f>
      </x:c>
      <x:c r="H35" s="36" t="str">
        <x:f>IFERROR(INDEX('Task Inbox'!J$6:J$505,MATCH(ROWS($A$5:A35),'Task Inbox'!$R$6:$R$505,0)),"")</x:f>
      </x:c>
      <x:c r="I35" s="26" t="str">
        <x:f>IFERROR(INDEX('Task Inbox'!K$6:K$505,MATCH(ROWS($A$5:A35),'Task Inbox'!$R$6:$R$505,0)),"")</x:f>
      </x:c>
      <x:c r="J35" s="26" t="str">
        <x:f>IFERROR(INDEX('Task Inbox'!N$6:N$505,MATCH(ROWS($A$5:A35),'Task Inbox'!$R$6:$R$505,0)),"")</x:f>
      </x:c>
      <x:c r="K35" s="26" t="str">
        <x:f>IF($A35="","",IF($F35="Blocked","Blocked",IF($F35="Waiting on Others","Waiting",IF($G35&lt;TODAY(),"Overdue",IF($G35&lt;=TODAY()+1,"Due Soon","Priority")))))</x:f>
      </x:c>
    </x:row>
    <x:row r="36">
      <x:c r="A36" s="26" t="str">
        <x:f>IFERROR(INDEX('Task Inbox'!A$6:A$505,MATCH(ROWS($A$5:A36),'Task Inbox'!$R$6:$R$505,0)),"")</x:f>
      </x:c>
      <x:c r="B36" s="26" t="str">
        <x:f>IFERROR(INDEX('Task Inbox'!B$6:B$505,MATCH(ROWS($A$5:A36),'Task Inbox'!$R$6:$R$505,0)),"")</x:f>
      </x:c>
      <x:c r="C36" s="26" t="str">
        <x:f>IFERROR(INDEX('Task Inbox'!D$6:D$505,MATCH(ROWS($A$5:A36),'Task Inbox'!$R$6:$R$505,0)),"")</x:f>
      </x:c>
      <x:c r="D36" s="26" t="str">
        <x:f>IFERROR(INDEX('Task Inbox'!E$6:E$505,MATCH(ROWS($A$5:A36),'Task Inbox'!$R$6:$R$505,0)),"")</x:f>
      </x:c>
      <x:c r="E36" s="26" t="str">
        <x:f>IFERROR(INDEX('Task Inbox'!F$6:F$505,MATCH(ROWS($A$5:A36),'Task Inbox'!$R$6:$R$505,0)),"")</x:f>
      </x:c>
      <x:c r="F36" s="26" t="str">
        <x:f>IFERROR(INDEX('Task Inbox'!G$6:G$505,MATCH(ROWS($A$5:A36),'Task Inbox'!$R$6:$R$505,0)),"")</x:f>
      </x:c>
      <x:c r="G36" s="35" t="str">
        <x:f>IFERROR(INDEX('Task Inbox'!H$6:H$505,MATCH(ROWS($A$5:A36),'Task Inbox'!$R$6:$R$505,0)),"")</x:f>
      </x:c>
      <x:c r="H36" s="36" t="str">
        <x:f>IFERROR(INDEX('Task Inbox'!J$6:J$505,MATCH(ROWS($A$5:A36),'Task Inbox'!$R$6:$R$505,0)),"")</x:f>
      </x:c>
      <x:c r="I36" s="26" t="str">
        <x:f>IFERROR(INDEX('Task Inbox'!K$6:K$505,MATCH(ROWS($A$5:A36),'Task Inbox'!$R$6:$R$505,0)),"")</x:f>
      </x:c>
      <x:c r="J36" s="26" t="str">
        <x:f>IFERROR(INDEX('Task Inbox'!N$6:N$505,MATCH(ROWS($A$5:A36),'Task Inbox'!$R$6:$R$505,0)),"")</x:f>
      </x:c>
      <x:c r="K36" s="26" t="str">
        <x:f>IF($A36="","",IF($F36="Blocked","Blocked",IF($F36="Waiting on Others","Waiting",IF($G36&lt;TODAY(),"Overdue",IF($G36&lt;=TODAY()+1,"Due Soon","Priority")))))</x:f>
      </x:c>
    </x:row>
    <x:row r="37">
      <x:c r="A37" s="26" t="str">
        <x:f>IFERROR(INDEX('Task Inbox'!A$6:A$505,MATCH(ROWS($A$5:A37),'Task Inbox'!$R$6:$R$505,0)),"")</x:f>
      </x:c>
      <x:c r="B37" s="26" t="str">
        <x:f>IFERROR(INDEX('Task Inbox'!B$6:B$505,MATCH(ROWS($A$5:A37),'Task Inbox'!$R$6:$R$505,0)),"")</x:f>
      </x:c>
      <x:c r="C37" s="26" t="str">
        <x:f>IFERROR(INDEX('Task Inbox'!D$6:D$505,MATCH(ROWS($A$5:A37),'Task Inbox'!$R$6:$R$505,0)),"")</x:f>
      </x:c>
      <x:c r="D37" s="26" t="str">
        <x:f>IFERROR(INDEX('Task Inbox'!E$6:E$505,MATCH(ROWS($A$5:A37),'Task Inbox'!$R$6:$R$505,0)),"")</x:f>
      </x:c>
      <x:c r="E37" s="26" t="str">
        <x:f>IFERROR(INDEX('Task Inbox'!F$6:F$505,MATCH(ROWS($A$5:A37),'Task Inbox'!$R$6:$R$505,0)),"")</x:f>
      </x:c>
      <x:c r="F37" s="26" t="str">
        <x:f>IFERROR(INDEX('Task Inbox'!G$6:G$505,MATCH(ROWS($A$5:A37),'Task Inbox'!$R$6:$R$505,0)),"")</x:f>
      </x:c>
      <x:c r="G37" s="35" t="str">
        <x:f>IFERROR(INDEX('Task Inbox'!H$6:H$505,MATCH(ROWS($A$5:A37),'Task Inbox'!$R$6:$R$505,0)),"")</x:f>
      </x:c>
      <x:c r="H37" s="36" t="str">
        <x:f>IFERROR(INDEX('Task Inbox'!J$6:J$505,MATCH(ROWS($A$5:A37),'Task Inbox'!$R$6:$R$505,0)),"")</x:f>
      </x:c>
      <x:c r="I37" s="26" t="str">
        <x:f>IFERROR(INDEX('Task Inbox'!K$6:K$505,MATCH(ROWS($A$5:A37),'Task Inbox'!$R$6:$R$505,0)),"")</x:f>
      </x:c>
      <x:c r="J37" s="26" t="str">
        <x:f>IFERROR(INDEX('Task Inbox'!N$6:N$505,MATCH(ROWS($A$5:A37),'Task Inbox'!$R$6:$R$505,0)),"")</x:f>
      </x:c>
      <x:c r="K37" s="26" t="str">
        <x:f>IF($A37="","",IF($F37="Blocked","Blocked",IF($F37="Waiting on Others","Waiting",IF($G37&lt;TODAY(),"Overdue",IF($G37&lt;=TODAY()+1,"Due Soon","Priority")))))</x:f>
      </x:c>
    </x:row>
    <x:row r="38">
      <x:c r="A38" s="26" t="str">
        <x:f>IFERROR(INDEX('Task Inbox'!A$6:A$505,MATCH(ROWS($A$5:A38),'Task Inbox'!$R$6:$R$505,0)),"")</x:f>
      </x:c>
      <x:c r="B38" s="26" t="str">
        <x:f>IFERROR(INDEX('Task Inbox'!B$6:B$505,MATCH(ROWS($A$5:A38),'Task Inbox'!$R$6:$R$505,0)),"")</x:f>
      </x:c>
      <x:c r="C38" s="26" t="str">
        <x:f>IFERROR(INDEX('Task Inbox'!D$6:D$505,MATCH(ROWS($A$5:A38),'Task Inbox'!$R$6:$R$505,0)),"")</x:f>
      </x:c>
      <x:c r="D38" s="26" t="str">
        <x:f>IFERROR(INDEX('Task Inbox'!E$6:E$505,MATCH(ROWS($A$5:A38),'Task Inbox'!$R$6:$R$505,0)),"")</x:f>
      </x:c>
      <x:c r="E38" s="26" t="str">
        <x:f>IFERROR(INDEX('Task Inbox'!F$6:F$505,MATCH(ROWS($A$5:A38),'Task Inbox'!$R$6:$R$505,0)),"")</x:f>
      </x:c>
      <x:c r="F38" s="26" t="str">
        <x:f>IFERROR(INDEX('Task Inbox'!G$6:G$505,MATCH(ROWS($A$5:A38),'Task Inbox'!$R$6:$R$505,0)),"")</x:f>
      </x:c>
      <x:c r="G38" s="35" t="str">
        <x:f>IFERROR(INDEX('Task Inbox'!H$6:H$505,MATCH(ROWS($A$5:A38),'Task Inbox'!$R$6:$R$505,0)),"")</x:f>
      </x:c>
      <x:c r="H38" s="36" t="str">
        <x:f>IFERROR(INDEX('Task Inbox'!J$6:J$505,MATCH(ROWS($A$5:A38),'Task Inbox'!$R$6:$R$505,0)),"")</x:f>
      </x:c>
      <x:c r="I38" s="26" t="str">
        <x:f>IFERROR(INDEX('Task Inbox'!K$6:K$505,MATCH(ROWS($A$5:A38),'Task Inbox'!$R$6:$R$505,0)),"")</x:f>
      </x:c>
      <x:c r="J38" s="26" t="str">
        <x:f>IFERROR(INDEX('Task Inbox'!N$6:N$505,MATCH(ROWS($A$5:A38),'Task Inbox'!$R$6:$R$505,0)),"")</x:f>
      </x:c>
      <x:c r="K38" s="26" t="str">
        <x:f>IF($A38="","",IF($F38="Blocked","Blocked",IF($F38="Waiting on Others","Waiting",IF($G38&lt;TODAY(),"Overdue",IF($G38&lt;=TODAY()+1,"Due Soon","Priority")))))</x:f>
      </x:c>
    </x:row>
    <x:row r="39">
      <x:c r="A39" s="26" t="str">
        <x:f>IFERROR(INDEX('Task Inbox'!A$6:A$505,MATCH(ROWS($A$5:A39),'Task Inbox'!$R$6:$R$505,0)),"")</x:f>
      </x:c>
      <x:c r="B39" s="26" t="str">
        <x:f>IFERROR(INDEX('Task Inbox'!B$6:B$505,MATCH(ROWS($A$5:A39),'Task Inbox'!$R$6:$R$505,0)),"")</x:f>
      </x:c>
      <x:c r="C39" s="26" t="str">
        <x:f>IFERROR(INDEX('Task Inbox'!D$6:D$505,MATCH(ROWS($A$5:A39),'Task Inbox'!$R$6:$R$505,0)),"")</x:f>
      </x:c>
      <x:c r="D39" s="26" t="str">
        <x:f>IFERROR(INDEX('Task Inbox'!E$6:E$505,MATCH(ROWS($A$5:A39),'Task Inbox'!$R$6:$R$505,0)),"")</x:f>
      </x:c>
      <x:c r="E39" s="26" t="str">
        <x:f>IFERROR(INDEX('Task Inbox'!F$6:F$505,MATCH(ROWS($A$5:A39),'Task Inbox'!$R$6:$R$505,0)),"")</x:f>
      </x:c>
      <x:c r="F39" s="26" t="str">
        <x:f>IFERROR(INDEX('Task Inbox'!G$6:G$505,MATCH(ROWS($A$5:A39),'Task Inbox'!$R$6:$R$505,0)),"")</x:f>
      </x:c>
      <x:c r="G39" s="35" t="str">
        <x:f>IFERROR(INDEX('Task Inbox'!H$6:H$505,MATCH(ROWS($A$5:A39),'Task Inbox'!$R$6:$R$505,0)),"")</x:f>
      </x:c>
      <x:c r="H39" s="36" t="str">
        <x:f>IFERROR(INDEX('Task Inbox'!J$6:J$505,MATCH(ROWS($A$5:A39),'Task Inbox'!$R$6:$R$505,0)),"")</x:f>
      </x:c>
      <x:c r="I39" s="26" t="str">
        <x:f>IFERROR(INDEX('Task Inbox'!K$6:K$505,MATCH(ROWS($A$5:A39),'Task Inbox'!$R$6:$R$505,0)),"")</x:f>
      </x:c>
      <x:c r="J39" s="26" t="str">
        <x:f>IFERROR(INDEX('Task Inbox'!N$6:N$505,MATCH(ROWS($A$5:A39),'Task Inbox'!$R$6:$R$505,0)),"")</x:f>
      </x:c>
      <x:c r="K39" s="26" t="str">
        <x:f>IF($A39="","",IF($F39="Blocked","Blocked",IF($F39="Waiting on Others","Waiting",IF($G39&lt;TODAY(),"Overdue",IF($G39&lt;=TODAY()+1,"Due Soon","Priority")))))</x:f>
      </x:c>
    </x:row>
    <x:row r="40">
      <x:c r="A40" s="26" t="str">
        <x:f>IFERROR(INDEX('Task Inbox'!A$6:A$505,MATCH(ROWS($A$5:A40),'Task Inbox'!$R$6:$R$505,0)),"")</x:f>
      </x:c>
      <x:c r="B40" s="26" t="str">
        <x:f>IFERROR(INDEX('Task Inbox'!B$6:B$505,MATCH(ROWS($A$5:A40),'Task Inbox'!$R$6:$R$505,0)),"")</x:f>
      </x:c>
      <x:c r="C40" s="26" t="str">
        <x:f>IFERROR(INDEX('Task Inbox'!D$6:D$505,MATCH(ROWS($A$5:A40),'Task Inbox'!$R$6:$R$505,0)),"")</x:f>
      </x:c>
      <x:c r="D40" s="26" t="str">
        <x:f>IFERROR(INDEX('Task Inbox'!E$6:E$505,MATCH(ROWS($A$5:A40),'Task Inbox'!$R$6:$R$505,0)),"")</x:f>
      </x:c>
      <x:c r="E40" s="26" t="str">
        <x:f>IFERROR(INDEX('Task Inbox'!F$6:F$505,MATCH(ROWS($A$5:A40),'Task Inbox'!$R$6:$R$505,0)),"")</x:f>
      </x:c>
      <x:c r="F40" s="26" t="str">
        <x:f>IFERROR(INDEX('Task Inbox'!G$6:G$505,MATCH(ROWS($A$5:A40),'Task Inbox'!$R$6:$R$505,0)),"")</x:f>
      </x:c>
      <x:c r="G40" s="35" t="str">
        <x:f>IFERROR(INDEX('Task Inbox'!H$6:H$505,MATCH(ROWS($A$5:A40),'Task Inbox'!$R$6:$R$505,0)),"")</x:f>
      </x:c>
      <x:c r="H40" s="36" t="str">
        <x:f>IFERROR(INDEX('Task Inbox'!J$6:J$505,MATCH(ROWS($A$5:A40),'Task Inbox'!$R$6:$R$505,0)),"")</x:f>
      </x:c>
      <x:c r="I40" s="26" t="str">
        <x:f>IFERROR(INDEX('Task Inbox'!K$6:K$505,MATCH(ROWS($A$5:A40),'Task Inbox'!$R$6:$R$505,0)),"")</x:f>
      </x:c>
      <x:c r="J40" s="26" t="str">
        <x:f>IFERROR(INDEX('Task Inbox'!N$6:N$505,MATCH(ROWS($A$5:A40),'Task Inbox'!$R$6:$R$505,0)),"")</x:f>
      </x:c>
      <x:c r="K40" s="26" t="str">
        <x:f>IF($A40="","",IF($F40="Blocked","Blocked",IF($F40="Waiting on Others","Waiting",IF($G40&lt;TODAY(),"Overdue",IF($G40&lt;=TODAY()+1,"Due Soon","Priority")))))</x:f>
      </x:c>
    </x:row>
    <x:row r="41">
      <x:c r="A41" s="26" t="str">
        <x:f>IFERROR(INDEX('Task Inbox'!A$6:A$505,MATCH(ROWS($A$5:A41),'Task Inbox'!$R$6:$R$505,0)),"")</x:f>
      </x:c>
      <x:c r="B41" s="26" t="str">
        <x:f>IFERROR(INDEX('Task Inbox'!B$6:B$505,MATCH(ROWS($A$5:A41),'Task Inbox'!$R$6:$R$505,0)),"")</x:f>
      </x:c>
      <x:c r="C41" s="26" t="str">
        <x:f>IFERROR(INDEX('Task Inbox'!D$6:D$505,MATCH(ROWS($A$5:A41),'Task Inbox'!$R$6:$R$505,0)),"")</x:f>
      </x:c>
      <x:c r="D41" s="26" t="str">
        <x:f>IFERROR(INDEX('Task Inbox'!E$6:E$505,MATCH(ROWS($A$5:A41),'Task Inbox'!$R$6:$R$505,0)),"")</x:f>
      </x:c>
      <x:c r="E41" s="26" t="str">
        <x:f>IFERROR(INDEX('Task Inbox'!F$6:F$505,MATCH(ROWS($A$5:A41),'Task Inbox'!$R$6:$R$505,0)),"")</x:f>
      </x:c>
      <x:c r="F41" s="26" t="str">
        <x:f>IFERROR(INDEX('Task Inbox'!G$6:G$505,MATCH(ROWS($A$5:A41),'Task Inbox'!$R$6:$R$505,0)),"")</x:f>
      </x:c>
      <x:c r="G41" s="35" t="str">
        <x:f>IFERROR(INDEX('Task Inbox'!H$6:H$505,MATCH(ROWS($A$5:A41),'Task Inbox'!$R$6:$R$505,0)),"")</x:f>
      </x:c>
      <x:c r="H41" s="36" t="str">
        <x:f>IFERROR(INDEX('Task Inbox'!J$6:J$505,MATCH(ROWS($A$5:A41),'Task Inbox'!$R$6:$R$505,0)),"")</x:f>
      </x:c>
      <x:c r="I41" s="26" t="str">
        <x:f>IFERROR(INDEX('Task Inbox'!K$6:K$505,MATCH(ROWS($A$5:A41),'Task Inbox'!$R$6:$R$505,0)),"")</x:f>
      </x:c>
      <x:c r="J41" s="26" t="str">
        <x:f>IFERROR(INDEX('Task Inbox'!N$6:N$505,MATCH(ROWS($A$5:A41),'Task Inbox'!$R$6:$R$505,0)),"")</x:f>
      </x:c>
      <x:c r="K41" s="26" t="str">
        <x:f>IF($A41="","",IF($F41="Blocked","Blocked",IF($F41="Waiting on Others","Waiting",IF($G41&lt;TODAY(),"Overdue",IF($G41&lt;=TODAY()+1,"Due Soon","Priority")))))</x:f>
      </x:c>
    </x:row>
    <x:row r="42">
      <x:c r="A42" s="26" t="str">
        <x:f>IFERROR(INDEX('Task Inbox'!A$6:A$505,MATCH(ROWS($A$5:A42),'Task Inbox'!$R$6:$R$505,0)),"")</x:f>
      </x:c>
      <x:c r="B42" s="26" t="str">
        <x:f>IFERROR(INDEX('Task Inbox'!B$6:B$505,MATCH(ROWS($A$5:A42),'Task Inbox'!$R$6:$R$505,0)),"")</x:f>
      </x:c>
      <x:c r="C42" s="26" t="str">
        <x:f>IFERROR(INDEX('Task Inbox'!D$6:D$505,MATCH(ROWS($A$5:A42),'Task Inbox'!$R$6:$R$505,0)),"")</x:f>
      </x:c>
      <x:c r="D42" s="26" t="str">
        <x:f>IFERROR(INDEX('Task Inbox'!E$6:E$505,MATCH(ROWS($A$5:A42),'Task Inbox'!$R$6:$R$505,0)),"")</x:f>
      </x:c>
      <x:c r="E42" s="26" t="str">
        <x:f>IFERROR(INDEX('Task Inbox'!F$6:F$505,MATCH(ROWS($A$5:A42),'Task Inbox'!$R$6:$R$505,0)),"")</x:f>
      </x:c>
      <x:c r="F42" s="26" t="str">
        <x:f>IFERROR(INDEX('Task Inbox'!G$6:G$505,MATCH(ROWS($A$5:A42),'Task Inbox'!$R$6:$R$505,0)),"")</x:f>
      </x:c>
      <x:c r="G42" s="35" t="str">
        <x:f>IFERROR(INDEX('Task Inbox'!H$6:H$505,MATCH(ROWS($A$5:A42),'Task Inbox'!$R$6:$R$505,0)),"")</x:f>
      </x:c>
      <x:c r="H42" s="36" t="str">
        <x:f>IFERROR(INDEX('Task Inbox'!J$6:J$505,MATCH(ROWS($A$5:A42),'Task Inbox'!$R$6:$R$505,0)),"")</x:f>
      </x:c>
      <x:c r="I42" s="26" t="str">
        <x:f>IFERROR(INDEX('Task Inbox'!K$6:K$505,MATCH(ROWS($A$5:A42),'Task Inbox'!$R$6:$R$505,0)),"")</x:f>
      </x:c>
      <x:c r="J42" s="26" t="str">
        <x:f>IFERROR(INDEX('Task Inbox'!N$6:N$505,MATCH(ROWS($A$5:A42),'Task Inbox'!$R$6:$R$505,0)),"")</x:f>
      </x:c>
      <x:c r="K42" s="26" t="str">
        <x:f>IF($A42="","",IF($F42="Blocked","Blocked",IF($F42="Waiting on Others","Waiting",IF($G42&lt;TODAY(),"Overdue",IF($G42&lt;=TODAY()+1,"Due Soon","Priority")))))</x:f>
      </x:c>
    </x:row>
    <x:row r="43">
      <x:c r="A43" s="26" t="str">
        <x:f>IFERROR(INDEX('Task Inbox'!A$6:A$505,MATCH(ROWS($A$5:A43),'Task Inbox'!$R$6:$R$505,0)),"")</x:f>
      </x:c>
      <x:c r="B43" s="26" t="str">
        <x:f>IFERROR(INDEX('Task Inbox'!B$6:B$505,MATCH(ROWS($A$5:A43),'Task Inbox'!$R$6:$R$505,0)),"")</x:f>
      </x:c>
      <x:c r="C43" s="26" t="str">
        <x:f>IFERROR(INDEX('Task Inbox'!D$6:D$505,MATCH(ROWS($A$5:A43),'Task Inbox'!$R$6:$R$505,0)),"")</x:f>
      </x:c>
      <x:c r="D43" s="26" t="str">
        <x:f>IFERROR(INDEX('Task Inbox'!E$6:E$505,MATCH(ROWS($A$5:A43),'Task Inbox'!$R$6:$R$505,0)),"")</x:f>
      </x:c>
      <x:c r="E43" s="26" t="str">
        <x:f>IFERROR(INDEX('Task Inbox'!F$6:F$505,MATCH(ROWS($A$5:A43),'Task Inbox'!$R$6:$R$505,0)),"")</x:f>
      </x:c>
      <x:c r="F43" s="26" t="str">
        <x:f>IFERROR(INDEX('Task Inbox'!G$6:G$505,MATCH(ROWS($A$5:A43),'Task Inbox'!$R$6:$R$505,0)),"")</x:f>
      </x:c>
      <x:c r="G43" s="35" t="str">
        <x:f>IFERROR(INDEX('Task Inbox'!H$6:H$505,MATCH(ROWS($A$5:A43),'Task Inbox'!$R$6:$R$505,0)),"")</x:f>
      </x:c>
      <x:c r="H43" s="36" t="str">
        <x:f>IFERROR(INDEX('Task Inbox'!J$6:J$505,MATCH(ROWS($A$5:A43),'Task Inbox'!$R$6:$R$505,0)),"")</x:f>
      </x:c>
      <x:c r="I43" s="26" t="str">
        <x:f>IFERROR(INDEX('Task Inbox'!K$6:K$505,MATCH(ROWS($A$5:A43),'Task Inbox'!$R$6:$R$505,0)),"")</x:f>
      </x:c>
      <x:c r="J43" s="26" t="str">
        <x:f>IFERROR(INDEX('Task Inbox'!N$6:N$505,MATCH(ROWS($A$5:A43),'Task Inbox'!$R$6:$R$505,0)),"")</x:f>
      </x:c>
      <x:c r="K43" s="26" t="str">
        <x:f>IF($A43="","",IF($F43="Blocked","Blocked",IF($F43="Waiting on Others","Waiting",IF($G43&lt;TODAY(),"Overdue",IF($G43&lt;=TODAY()+1,"Due Soon","Priority")))))</x:f>
      </x:c>
    </x:row>
    <x:row r="44">
      <x:c r="A44" s="26" t="str">
        <x:f>IFERROR(INDEX('Task Inbox'!A$6:A$505,MATCH(ROWS($A$5:A44),'Task Inbox'!$R$6:$R$505,0)),"")</x:f>
      </x:c>
      <x:c r="B44" s="26" t="str">
        <x:f>IFERROR(INDEX('Task Inbox'!B$6:B$505,MATCH(ROWS($A$5:A44),'Task Inbox'!$R$6:$R$505,0)),"")</x:f>
      </x:c>
      <x:c r="C44" s="26" t="str">
        <x:f>IFERROR(INDEX('Task Inbox'!D$6:D$505,MATCH(ROWS($A$5:A44),'Task Inbox'!$R$6:$R$505,0)),"")</x:f>
      </x:c>
      <x:c r="D44" s="26" t="str">
        <x:f>IFERROR(INDEX('Task Inbox'!E$6:E$505,MATCH(ROWS($A$5:A44),'Task Inbox'!$R$6:$R$505,0)),"")</x:f>
      </x:c>
      <x:c r="E44" s="26" t="str">
        <x:f>IFERROR(INDEX('Task Inbox'!F$6:F$505,MATCH(ROWS($A$5:A44),'Task Inbox'!$R$6:$R$505,0)),"")</x:f>
      </x:c>
      <x:c r="F44" s="26" t="str">
        <x:f>IFERROR(INDEX('Task Inbox'!G$6:G$505,MATCH(ROWS($A$5:A44),'Task Inbox'!$R$6:$R$505,0)),"")</x:f>
      </x:c>
      <x:c r="G44" s="35" t="str">
        <x:f>IFERROR(INDEX('Task Inbox'!H$6:H$505,MATCH(ROWS($A$5:A44),'Task Inbox'!$R$6:$R$505,0)),"")</x:f>
      </x:c>
      <x:c r="H44" s="36" t="str">
        <x:f>IFERROR(INDEX('Task Inbox'!J$6:J$505,MATCH(ROWS($A$5:A44),'Task Inbox'!$R$6:$R$505,0)),"")</x:f>
      </x:c>
      <x:c r="I44" s="26" t="str">
        <x:f>IFERROR(INDEX('Task Inbox'!K$6:K$505,MATCH(ROWS($A$5:A44),'Task Inbox'!$R$6:$R$505,0)),"")</x:f>
      </x:c>
      <x:c r="J44" s="26" t="str">
        <x:f>IFERROR(INDEX('Task Inbox'!N$6:N$505,MATCH(ROWS($A$5:A44),'Task Inbox'!$R$6:$R$505,0)),"")</x:f>
      </x:c>
      <x:c r="K44" s="26" t="str">
        <x:f>IF($A44="","",IF($F44="Blocked","Blocked",IF($F44="Waiting on Others","Waiting",IF($G44&lt;TODAY(),"Overdue",IF($G44&lt;=TODAY()+1,"Due Soon","Priority")))))</x:f>
      </x:c>
    </x:row>
    <x:row r="45">
      <x:c r="A45" s="26" t="str">
        <x:f>IFERROR(INDEX('Task Inbox'!A$6:A$505,MATCH(ROWS($A$5:A45),'Task Inbox'!$R$6:$R$505,0)),"")</x:f>
      </x:c>
      <x:c r="B45" s="26" t="str">
        <x:f>IFERROR(INDEX('Task Inbox'!B$6:B$505,MATCH(ROWS($A$5:A45),'Task Inbox'!$R$6:$R$505,0)),"")</x:f>
      </x:c>
      <x:c r="C45" s="26" t="str">
        <x:f>IFERROR(INDEX('Task Inbox'!D$6:D$505,MATCH(ROWS($A$5:A45),'Task Inbox'!$R$6:$R$505,0)),"")</x:f>
      </x:c>
      <x:c r="D45" s="26" t="str">
        <x:f>IFERROR(INDEX('Task Inbox'!E$6:E$505,MATCH(ROWS($A$5:A45),'Task Inbox'!$R$6:$R$505,0)),"")</x:f>
      </x:c>
      <x:c r="E45" s="26" t="str">
        <x:f>IFERROR(INDEX('Task Inbox'!F$6:F$505,MATCH(ROWS($A$5:A45),'Task Inbox'!$R$6:$R$505,0)),"")</x:f>
      </x:c>
      <x:c r="F45" s="26" t="str">
        <x:f>IFERROR(INDEX('Task Inbox'!G$6:G$505,MATCH(ROWS($A$5:A45),'Task Inbox'!$R$6:$R$505,0)),"")</x:f>
      </x:c>
      <x:c r="G45" s="35" t="str">
        <x:f>IFERROR(INDEX('Task Inbox'!H$6:H$505,MATCH(ROWS($A$5:A45),'Task Inbox'!$R$6:$R$505,0)),"")</x:f>
      </x:c>
      <x:c r="H45" s="36" t="str">
        <x:f>IFERROR(INDEX('Task Inbox'!J$6:J$505,MATCH(ROWS($A$5:A45),'Task Inbox'!$R$6:$R$505,0)),"")</x:f>
      </x:c>
      <x:c r="I45" s="26" t="str">
        <x:f>IFERROR(INDEX('Task Inbox'!K$6:K$505,MATCH(ROWS($A$5:A45),'Task Inbox'!$R$6:$R$505,0)),"")</x:f>
      </x:c>
      <x:c r="J45" s="26" t="str">
        <x:f>IFERROR(INDEX('Task Inbox'!N$6:N$505,MATCH(ROWS($A$5:A45),'Task Inbox'!$R$6:$R$505,0)),"")</x:f>
      </x:c>
      <x:c r="K45" s="26" t="str">
        <x:f>IF($A45="","",IF($F45="Blocked","Blocked",IF($F45="Waiting on Others","Waiting",IF($G45&lt;TODAY(),"Overdue",IF($G45&lt;=TODAY()+1,"Due Soon","Priority")))))</x:f>
      </x:c>
    </x:row>
    <x:row r="46">
      <x:c r="A46" s="26" t="str">
        <x:f>IFERROR(INDEX('Task Inbox'!A$6:A$505,MATCH(ROWS($A$5:A46),'Task Inbox'!$R$6:$R$505,0)),"")</x:f>
      </x:c>
      <x:c r="B46" s="26" t="str">
        <x:f>IFERROR(INDEX('Task Inbox'!B$6:B$505,MATCH(ROWS($A$5:A46),'Task Inbox'!$R$6:$R$505,0)),"")</x:f>
      </x:c>
      <x:c r="C46" s="26" t="str">
        <x:f>IFERROR(INDEX('Task Inbox'!D$6:D$505,MATCH(ROWS($A$5:A46),'Task Inbox'!$R$6:$R$505,0)),"")</x:f>
      </x:c>
      <x:c r="D46" s="26" t="str">
        <x:f>IFERROR(INDEX('Task Inbox'!E$6:E$505,MATCH(ROWS($A$5:A46),'Task Inbox'!$R$6:$R$505,0)),"")</x:f>
      </x:c>
      <x:c r="E46" s="26" t="str">
        <x:f>IFERROR(INDEX('Task Inbox'!F$6:F$505,MATCH(ROWS($A$5:A46),'Task Inbox'!$R$6:$R$505,0)),"")</x:f>
      </x:c>
      <x:c r="F46" s="26" t="str">
        <x:f>IFERROR(INDEX('Task Inbox'!G$6:G$505,MATCH(ROWS($A$5:A46),'Task Inbox'!$R$6:$R$505,0)),"")</x:f>
      </x:c>
      <x:c r="G46" s="35" t="str">
        <x:f>IFERROR(INDEX('Task Inbox'!H$6:H$505,MATCH(ROWS($A$5:A46),'Task Inbox'!$R$6:$R$505,0)),"")</x:f>
      </x:c>
      <x:c r="H46" s="36" t="str">
        <x:f>IFERROR(INDEX('Task Inbox'!J$6:J$505,MATCH(ROWS($A$5:A46),'Task Inbox'!$R$6:$R$505,0)),"")</x:f>
      </x:c>
      <x:c r="I46" s="26" t="str">
        <x:f>IFERROR(INDEX('Task Inbox'!K$6:K$505,MATCH(ROWS($A$5:A46),'Task Inbox'!$R$6:$R$505,0)),"")</x:f>
      </x:c>
      <x:c r="J46" s="26" t="str">
        <x:f>IFERROR(INDEX('Task Inbox'!N$6:N$505,MATCH(ROWS($A$5:A46),'Task Inbox'!$R$6:$R$505,0)),"")</x:f>
      </x:c>
      <x:c r="K46" s="26" t="str">
        <x:f>IF($A46="","",IF($F46="Blocked","Blocked",IF($F46="Waiting on Others","Waiting",IF($G46&lt;TODAY(),"Overdue",IF($G46&lt;=TODAY()+1,"Due Soon","Priority")))))</x:f>
      </x:c>
    </x:row>
    <x:row r="47">
      <x:c r="A47" s="26" t="str">
        <x:f>IFERROR(INDEX('Task Inbox'!A$6:A$505,MATCH(ROWS($A$5:A47),'Task Inbox'!$R$6:$R$505,0)),"")</x:f>
      </x:c>
      <x:c r="B47" s="26" t="str">
        <x:f>IFERROR(INDEX('Task Inbox'!B$6:B$505,MATCH(ROWS($A$5:A47),'Task Inbox'!$R$6:$R$505,0)),"")</x:f>
      </x:c>
      <x:c r="C47" s="26" t="str">
        <x:f>IFERROR(INDEX('Task Inbox'!D$6:D$505,MATCH(ROWS($A$5:A47),'Task Inbox'!$R$6:$R$505,0)),"")</x:f>
      </x:c>
      <x:c r="D47" s="26" t="str">
        <x:f>IFERROR(INDEX('Task Inbox'!E$6:E$505,MATCH(ROWS($A$5:A47),'Task Inbox'!$R$6:$R$505,0)),"")</x:f>
      </x:c>
      <x:c r="E47" s="26" t="str">
        <x:f>IFERROR(INDEX('Task Inbox'!F$6:F$505,MATCH(ROWS($A$5:A47),'Task Inbox'!$R$6:$R$505,0)),"")</x:f>
      </x:c>
      <x:c r="F47" s="26" t="str">
        <x:f>IFERROR(INDEX('Task Inbox'!G$6:G$505,MATCH(ROWS($A$5:A47),'Task Inbox'!$R$6:$R$505,0)),"")</x:f>
      </x:c>
      <x:c r="G47" s="35" t="str">
        <x:f>IFERROR(INDEX('Task Inbox'!H$6:H$505,MATCH(ROWS($A$5:A47),'Task Inbox'!$R$6:$R$505,0)),"")</x:f>
      </x:c>
      <x:c r="H47" s="36" t="str">
        <x:f>IFERROR(INDEX('Task Inbox'!J$6:J$505,MATCH(ROWS($A$5:A47),'Task Inbox'!$R$6:$R$505,0)),"")</x:f>
      </x:c>
      <x:c r="I47" s="26" t="str">
        <x:f>IFERROR(INDEX('Task Inbox'!K$6:K$505,MATCH(ROWS($A$5:A47),'Task Inbox'!$R$6:$R$505,0)),"")</x:f>
      </x:c>
      <x:c r="J47" s="26" t="str">
        <x:f>IFERROR(INDEX('Task Inbox'!N$6:N$505,MATCH(ROWS($A$5:A47),'Task Inbox'!$R$6:$R$505,0)),"")</x:f>
      </x:c>
      <x:c r="K47" s="26" t="str">
        <x:f>IF($A47="","",IF($F47="Blocked","Blocked",IF($F47="Waiting on Others","Waiting",IF($G47&lt;TODAY(),"Overdue",IF($G47&lt;=TODAY()+1,"Due Soon","Priority")))))</x:f>
      </x:c>
    </x:row>
    <x:row r="48">
      <x:c r="A48" s="26" t="str">
        <x:f>IFERROR(INDEX('Task Inbox'!A$6:A$505,MATCH(ROWS($A$5:A48),'Task Inbox'!$R$6:$R$505,0)),"")</x:f>
      </x:c>
      <x:c r="B48" s="26" t="str">
        <x:f>IFERROR(INDEX('Task Inbox'!B$6:B$505,MATCH(ROWS($A$5:A48),'Task Inbox'!$R$6:$R$505,0)),"")</x:f>
      </x:c>
      <x:c r="C48" s="26" t="str">
        <x:f>IFERROR(INDEX('Task Inbox'!D$6:D$505,MATCH(ROWS($A$5:A48),'Task Inbox'!$R$6:$R$505,0)),"")</x:f>
      </x:c>
      <x:c r="D48" s="26" t="str">
        <x:f>IFERROR(INDEX('Task Inbox'!E$6:E$505,MATCH(ROWS($A$5:A48),'Task Inbox'!$R$6:$R$505,0)),"")</x:f>
      </x:c>
      <x:c r="E48" s="26" t="str">
        <x:f>IFERROR(INDEX('Task Inbox'!F$6:F$505,MATCH(ROWS($A$5:A48),'Task Inbox'!$R$6:$R$505,0)),"")</x:f>
      </x:c>
      <x:c r="F48" s="26" t="str">
        <x:f>IFERROR(INDEX('Task Inbox'!G$6:G$505,MATCH(ROWS($A$5:A48),'Task Inbox'!$R$6:$R$505,0)),"")</x:f>
      </x:c>
      <x:c r="G48" s="35" t="str">
        <x:f>IFERROR(INDEX('Task Inbox'!H$6:H$505,MATCH(ROWS($A$5:A48),'Task Inbox'!$R$6:$R$505,0)),"")</x:f>
      </x:c>
      <x:c r="H48" s="36" t="str">
        <x:f>IFERROR(INDEX('Task Inbox'!J$6:J$505,MATCH(ROWS($A$5:A48),'Task Inbox'!$R$6:$R$505,0)),"")</x:f>
      </x:c>
      <x:c r="I48" s="26" t="str">
        <x:f>IFERROR(INDEX('Task Inbox'!K$6:K$505,MATCH(ROWS($A$5:A48),'Task Inbox'!$R$6:$R$505,0)),"")</x:f>
      </x:c>
      <x:c r="J48" s="26" t="str">
        <x:f>IFERROR(INDEX('Task Inbox'!N$6:N$505,MATCH(ROWS($A$5:A48),'Task Inbox'!$R$6:$R$505,0)),"")</x:f>
      </x:c>
      <x:c r="K48" s="26" t="str">
        <x:f>IF($A48="","",IF($F48="Blocked","Blocked",IF($F48="Waiting on Others","Waiting",IF($G48&lt;TODAY(),"Overdue",IF($G48&lt;=TODAY()+1,"Due Soon","Priority")))))</x:f>
      </x:c>
    </x:row>
    <x:row r="49">
      <x:c r="A49" s="26" t="str">
        <x:f>IFERROR(INDEX('Task Inbox'!A$6:A$505,MATCH(ROWS($A$5:A49),'Task Inbox'!$R$6:$R$505,0)),"")</x:f>
      </x:c>
      <x:c r="B49" s="26" t="str">
        <x:f>IFERROR(INDEX('Task Inbox'!B$6:B$505,MATCH(ROWS($A$5:A49),'Task Inbox'!$R$6:$R$505,0)),"")</x:f>
      </x:c>
      <x:c r="C49" s="26" t="str">
        <x:f>IFERROR(INDEX('Task Inbox'!D$6:D$505,MATCH(ROWS($A$5:A49),'Task Inbox'!$R$6:$R$505,0)),"")</x:f>
      </x:c>
      <x:c r="D49" s="26" t="str">
        <x:f>IFERROR(INDEX('Task Inbox'!E$6:E$505,MATCH(ROWS($A$5:A49),'Task Inbox'!$R$6:$R$505,0)),"")</x:f>
      </x:c>
      <x:c r="E49" s="26" t="str">
        <x:f>IFERROR(INDEX('Task Inbox'!F$6:F$505,MATCH(ROWS($A$5:A49),'Task Inbox'!$R$6:$R$505,0)),"")</x:f>
      </x:c>
      <x:c r="F49" s="26" t="str">
        <x:f>IFERROR(INDEX('Task Inbox'!G$6:G$505,MATCH(ROWS($A$5:A49),'Task Inbox'!$R$6:$R$505,0)),"")</x:f>
      </x:c>
      <x:c r="G49" s="35" t="str">
        <x:f>IFERROR(INDEX('Task Inbox'!H$6:H$505,MATCH(ROWS($A$5:A49),'Task Inbox'!$R$6:$R$505,0)),"")</x:f>
      </x:c>
      <x:c r="H49" s="36" t="str">
        <x:f>IFERROR(INDEX('Task Inbox'!J$6:J$505,MATCH(ROWS($A$5:A49),'Task Inbox'!$R$6:$R$505,0)),"")</x:f>
      </x:c>
      <x:c r="I49" s="26" t="str">
        <x:f>IFERROR(INDEX('Task Inbox'!K$6:K$505,MATCH(ROWS($A$5:A49),'Task Inbox'!$R$6:$R$505,0)),"")</x:f>
      </x:c>
      <x:c r="J49" s="26" t="str">
        <x:f>IFERROR(INDEX('Task Inbox'!N$6:N$505,MATCH(ROWS($A$5:A49),'Task Inbox'!$R$6:$R$505,0)),"")</x:f>
      </x:c>
      <x:c r="K49" s="26" t="str">
        <x:f>IF($A49="","",IF($F49="Blocked","Blocked",IF($F49="Waiting on Others","Waiting",IF($G49&lt;TODAY(),"Overdue",IF($G49&lt;=TODAY()+1,"Due Soon","Priority")))))</x:f>
      </x:c>
    </x:row>
    <x:row r="50">
      <x:c r="A50" s="26" t="str">
        <x:f>IFERROR(INDEX('Task Inbox'!A$6:A$505,MATCH(ROWS($A$5:A50),'Task Inbox'!$R$6:$R$505,0)),"")</x:f>
      </x:c>
      <x:c r="B50" s="26" t="str">
        <x:f>IFERROR(INDEX('Task Inbox'!B$6:B$505,MATCH(ROWS($A$5:A50),'Task Inbox'!$R$6:$R$505,0)),"")</x:f>
      </x:c>
      <x:c r="C50" s="26" t="str">
        <x:f>IFERROR(INDEX('Task Inbox'!D$6:D$505,MATCH(ROWS($A$5:A50),'Task Inbox'!$R$6:$R$505,0)),"")</x:f>
      </x:c>
      <x:c r="D50" s="26" t="str">
        <x:f>IFERROR(INDEX('Task Inbox'!E$6:E$505,MATCH(ROWS($A$5:A50),'Task Inbox'!$R$6:$R$505,0)),"")</x:f>
      </x:c>
      <x:c r="E50" s="26" t="str">
        <x:f>IFERROR(INDEX('Task Inbox'!F$6:F$505,MATCH(ROWS($A$5:A50),'Task Inbox'!$R$6:$R$505,0)),"")</x:f>
      </x:c>
      <x:c r="F50" s="26" t="str">
        <x:f>IFERROR(INDEX('Task Inbox'!G$6:G$505,MATCH(ROWS($A$5:A50),'Task Inbox'!$R$6:$R$505,0)),"")</x:f>
      </x:c>
      <x:c r="G50" s="35" t="str">
        <x:f>IFERROR(INDEX('Task Inbox'!H$6:H$505,MATCH(ROWS($A$5:A50),'Task Inbox'!$R$6:$R$505,0)),"")</x:f>
      </x:c>
      <x:c r="H50" s="36" t="str">
        <x:f>IFERROR(INDEX('Task Inbox'!J$6:J$505,MATCH(ROWS($A$5:A50),'Task Inbox'!$R$6:$R$505,0)),"")</x:f>
      </x:c>
      <x:c r="I50" s="26" t="str">
        <x:f>IFERROR(INDEX('Task Inbox'!K$6:K$505,MATCH(ROWS($A$5:A50),'Task Inbox'!$R$6:$R$505,0)),"")</x:f>
      </x:c>
      <x:c r="J50" s="26" t="str">
        <x:f>IFERROR(INDEX('Task Inbox'!N$6:N$505,MATCH(ROWS($A$5:A50),'Task Inbox'!$R$6:$R$505,0)),"")</x:f>
      </x:c>
      <x:c r="K50" s="26" t="str">
        <x:f>IF($A50="","",IF($F50="Blocked","Blocked",IF($F50="Waiting on Others","Waiting",IF($G50&lt;TODAY(),"Overdue",IF($G50&lt;=TODAY()+1,"Due Soon","Priority")))))</x:f>
      </x:c>
    </x:row>
    <x:row r="51">
      <x:c r="A51" s="26" t="str">
        <x:f>IFERROR(INDEX('Task Inbox'!A$6:A$505,MATCH(ROWS($A$5:A51),'Task Inbox'!$R$6:$R$505,0)),"")</x:f>
      </x:c>
      <x:c r="B51" s="26" t="str">
        <x:f>IFERROR(INDEX('Task Inbox'!B$6:B$505,MATCH(ROWS($A$5:A51),'Task Inbox'!$R$6:$R$505,0)),"")</x:f>
      </x:c>
      <x:c r="C51" s="26" t="str">
        <x:f>IFERROR(INDEX('Task Inbox'!D$6:D$505,MATCH(ROWS($A$5:A51),'Task Inbox'!$R$6:$R$505,0)),"")</x:f>
      </x:c>
      <x:c r="D51" s="26" t="str">
        <x:f>IFERROR(INDEX('Task Inbox'!E$6:E$505,MATCH(ROWS($A$5:A51),'Task Inbox'!$R$6:$R$505,0)),"")</x:f>
      </x:c>
      <x:c r="E51" s="26" t="str">
        <x:f>IFERROR(INDEX('Task Inbox'!F$6:F$505,MATCH(ROWS($A$5:A51),'Task Inbox'!$R$6:$R$505,0)),"")</x:f>
      </x:c>
      <x:c r="F51" s="26" t="str">
        <x:f>IFERROR(INDEX('Task Inbox'!G$6:G$505,MATCH(ROWS($A$5:A51),'Task Inbox'!$R$6:$R$505,0)),"")</x:f>
      </x:c>
      <x:c r="G51" s="35" t="str">
        <x:f>IFERROR(INDEX('Task Inbox'!H$6:H$505,MATCH(ROWS($A$5:A51),'Task Inbox'!$R$6:$R$505,0)),"")</x:f>
      </x:c>
      <x:c r="H51" s="36" t="str">
        <x:f>IFERROR(INDEX('Task Inbox'!J$6:J$505,MATCH(ROWS($A$5:A51),'Task Inbox'!$R$6:$R$505,0)),"")</x:f>
      </x:c>
      <x:c r="I51" s="26" t="str">
        <x:f>IFERROR(INDEX('Task Inbox'!K$6:K$505,MATCH(ROWS($A$5:A51),'Task Inbox'!$R$6:$R$505,0)),"")</x:f>
      </x:c>
      <x:c r="J51" s="26" t="str">
        <x:f>IFERROR(INDEX('Task Inbox'!N$6:N$505,MATCH(ROWS($A$5:A51),'Task Inbox'!$R$6:$R$505,0)),"")</x:f>
      </x:c>
      <x:c r="K51" s="26" t="str">
        <x:f>IF($A51="","",IF($F51="Blocked","Blocked",IF($F51="Waiting on Others","Waiting",IF($G51&lt;TODAY(),"Overdue",IF($G51&lt;=TODAY()+1,"Due Soon","Priority")))))</x:f>
      </x:c>
    </x:row>
    <x:row r="52">
      <x:c r="A52" s="26" t="str">
        <x:f>IFERROR(INDEX('Task Inbox'!A$6:A$505,MATCH(ROWS($A$5:A52),'Task Inbox'!$R$6:$R$505,0)),"")</x:f>
      </x:c>
      <x:c r="B52" s="26" t="str">
        <x:f>IFERROR(INDEX('Task Inbox'!B$6:B$505,MATCH(ROWS($A$5:A52),'Task Inbox'!$R$6:$R$505,0)),"")</x:f>
      </x:c>
      <x:c r="C52" s="26" t="str">
        <x:f>IFERROR(INDEX('Task Inbox'!D$6:D$505,MATCH(ROWS($A$5:A52),'Task Inbox'!$R$6:$R$505,0)),"")</x:f>
      </x:c>
      <x:c r="D52" s="26" t="str">
        <x:f>IFERROR(INDEX('Task Inbox'!E$6:E$505,MATCH(ROWS($A$5:A52),'Task Inbox'!$R$6:$R$505,0)),"")</x:f>
      </x:c>
      <x:c r="E52" s="26" t="str">
        <x:f>IFERROR(INDEX('Task Inbox'!F$6:F$505,MATCH(ROWS($A$5:A52),'Task Inbox'!$R$6:$R$505,0)),"")</x:f>
      </x:c>
      <x:c r="F52" s="26" t="str">
        <x:f>IFERROR(INDEX('Task Inbox'!G$6:G$505,MATCH(ROWS($A$5:A52),'Task Inbox'!$R$6:$R$505,0)),"")</x:f>
      </x:c>
      <x:c r="G52" s="35" t="str">
        <x:f>IFERROR(INDEX('Task Inbox'!H$6:H$505,MATCH(ROWS($A$5:A52),'Task Inbox'!$R$6:$R$505,0)),"")</x:f>
      </x:c>
      <x:c r="H52" s="36" t="str">
        <x:f>IFERROR(INDEX('Task Inbox'!J$6:J$505,MATCH(ROWS($A$5:A52),'Task Inbox'!$R$6:$R$505,0)),"")</x:f>
      </x:c>
      <x:c r="I52" s="26" t="str">
        <x:f>IFERROR(INDEX('Task Inbox'!K$6:K$505,MATCH(ROWS($A$5:A52),'Task Inbox'!$R$6:$R$505,0)),"")</x:f>
      </x:c>
      <x:c r="J52" s="26" t="str">
        <x:f>IFERROR(INDEX('Task Inbox'!N$6:N$505,MATCH(ROWS($A$5:A52),'Task Inbox'!$R$6:$R$505,0)),"")</x:f>
      </x:c>
      <x:c r="K52" s="26" t="str">
        <x:f>IF($A52="","",IF($F52="Blocked","Blocked",IF($F52="Waiting on Others","Waiting",IF($G52&lt;TODAY(),"Overdue",IF($G52&lt;=TODAY()+1,"Due Soon","Priority")))))</x:f>
      </x:c>
    </x:row>
    <x:row r="53">
      <x:c r="A53" s="26" t="str">
        <x:f>IFERROR(INDEX('Task Inbox'!A$6:A$505,MATCH(ROWS($A$5:A53),'Task Inbox'!$R$6:$R$505,0)),"")</x:f>
      </x:c>
      <x:c r="B53" s="26" t="str">
        <x:f>IFERROR(INDEX('Task Inbox'!B$6:B$505,MATCH(ROWS($A$5:A53),'Task Inbox'!$R$6:$R$505,0)),"")</x:f>
      </x:c>
      <x:c r="C53" s="26" t="str">
        <x:f>IFERROR(INDEX('Task Inbox'!D$6:D$505,MATCH(ROWS($A$5:A53),'Task Inbox'!$R$6:$R$505,0)),"")</x:f>
      </x:c>
      <x:c r="D53" s="26" t="str">
        <x:f>IFERROR(INDEX('Task Inbox'!E$6:E$505,MATCH(ROWS($A$5:A53),'Task Inbox'!$R$6:$R$505,0)),"")</x:f>
      </x:c>
      <x:c r="E53" s="26" t="str">
        <x:f>IFERROR(INDEX('Task Inbox'!F$6:F$505,MATCH(ROWS($A$5:A53),'Task Inbox'!$R$6:$R$505,0)),"")</x:f>
      </x:c>
      <x:c r="F53" s="26" t="str">
        <x:f>IFERROR(INDEX('Task Inbox'!G$6:G$505,MATCH(ROWS($A$5:A53),'Task Inbox'!$R$6:$R$505,0)),"")</x:f>
      </x:c>
      <x:c r="G53" s="35" t="str">
        <x:f>IFERROR(INDEX('Task Inbox'!H$6:H$505,MATCH(ROWS($A$5:A53),'Task Inbox'!$R$6:$R$505,0)),"")</x:f>
      </x:c>
      <x:c r="H53" s="36" t="str">
        <x:f>IFERROR(INDEX('Task Inbox'!J$6:J$505,MATCH(ROWS($A$5:A53),'Task Inbox'!$R$6:$R$505,0)),"")</x:f>
      </x:c>
      <x:c r="I53" s="26" t="str">
        <x:f>IFERROR(INDEX('Task Inbox'!K$6:K$505,MATCH(ROWS($A$5:A53),'Task Inbox'!$R$6:$R$505,0)),"")</x:f>
      </x:c>
      <x:c r="J53" s="26" t="str">
        <x:f>IFERROR(INDEX('Task Inbox'!N$6:N$505,MATCH(ROWS($A$5:A53),'Task Inbox'!$R$6:$R$505,0)),"")</x:f>
      </x:c>
      <x:c r="K53" s="26" t="str">
        <x:f>IF($A53="","",IF($F53="Blocked","Blocked",IF($F53="Waiting on Others","Waiting",IF($G53&lt;TODAY(),"Overdue",IF($G53&lt;=TODAY()+1,"Due Soon","Priority")))))</x:f>
      </x:c>
    </x:row>
    <x:row r="54">
      <x:c r="A54" s="26" t="str">
        <x:f>IFERROR(INDEX('Task Inbox'!A$6:A$505,MATCH(ROWS($A$5:A54),'Task Inbox'!$R$6:$R$505,0)),"")</x:f>
      </x:c>
      <x:c r="B54" s="26" t="str">
        <x:f>IFERROR(INDEX('Task Inbox'!B$6:B$505,MATCH(ROWS($A$5:A54),'Task Inbox'!$R$6:$R$505,0)),"")</x:f>
      </x:c>
      <x:c r="C54" s="26" t="str">
        <x:f>IFERROR(INDEX('Task Inbox'!D$6:D$505,MATCH(ROWS($A$5:A54),'Task Inbox'!$R$6:$R$505,0)),"")</x:f>
      </x:c>
      <x:c r="D54" s="26" t="str">
        <x:f>IFERROR(INDEX('Task Inbox'!E$6:E$505,MATCH(ROWS($A$5:A54),'Task Inbox'!$R$6:$R$505,0)),"")</x:f>
      </x:c>
      <x:c r="E54" s="26" t="str">
        <x:f>IFERROR(INDEX('Task Inbox'!F$6:F$505,MATCH(ROWS($A$5:A54),'Task Inbox'!$R$6:$R$505,0)),"")</x:f>
      </x:c>
      <x:c r="F54" s="26" t="str">
        <x:f>IFERROR(INDEX('Task Inbox'!G$6:G$505,MATCH(ROWS($A$5:A54),'Task Inbox'!$R$6:$R$505,0)),"")</x:f>
      </x:c>
      <x:c r="G54" s="35" t="str">
        <x:f>IFERROR(INDEX('Task Inbox'!H$6:H$505,MATCH(ROWS($A$5:A54),'Task Inbox'!$R$6:$R$505,0)),"")</x:f>
      </x:c>
      <x:c r="H54" s="36" t="str">
        <x:f>IFERROR(INDEX('Task Inbox'!J$6:J$505,MATCH(ROWS($A$5:A54),'Task Inbox'!$R$6:$R$505,0)),"")</x:f>
      </x:c>
      <x:c r="I54" s="26" t="str">
        <x:f>IFERROR(INDEX('Task Inbox'!K$6:K$505,MATCH(ROWS($A$5:A54),'Task Inbox'!$R$6:$R$505,0)),"")</x:f>
      </x:c>
      <x:c r="J54" s="26" t="str">
        <x:f>IFERROR(INDEX('Task Inbox'!N$6:N$505,MATCH(ROWS($A$5:A54),'Task Inbox'!$R$6:$R$505,0)),"")</x:f>
      </x:c>
      <x:c r="K54" s="26" t="str">
        <x:f>IF($A54="","",IF($F54="Blocked","Blocked",IF($F54="Waiting on Others","Waiting",IF($G54&lt;TODAY(),"Overdue",IF($G54&lt;=TODAY()+1,"Due Soon","Priority")))))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5.5600004196167" hidden="0" customWidth="1"/>
    <x:col min="3" max="3" width="16.670000076293945" hidden="0" customWidth="1"/>
    <x:col min="4" max="4" width="10.5600004196167" hidden="0" customWidth="1"/>
    <x:col min="5" max="5" width="9.4399995803833" hidden="0" customWidth="1"/>
    <x:col min="6" max="6" width="9.4399995803833" hidden="0" customWidth="1"/>
    <x:col min="7" max="7" width="9.4399995803833" hidden="0" customWidth="1"/>
    <x:col min="8" max="8" width="9.4399995803833" hidden="0" customWidth="1"/>
    <x:col min="9" max="9" width="11.109999656677246" hidden="0" customWidth="1"/>
  </x:cols>
  <x:sheetData>
    <x:row r="1" ht="31.5" customHeight="1">
      <x:c r="A1" s="2" t="str">
        <x:v>Projects</x:v>
      </x:c>
      <x:c r="B1" s="24"/>
      <x:c r="C1" s="24"/>
      <x:c r="D1" s="24"/>
      <x:c r="E1" s="24"/>
      <x:c r="F1" s="24"/>
      <x:c r="G1" s="24"/>
      <x:c r="H1" s="24"/>
      <x:c r="I1" s="24"/>
      <x:c r="J1" s="26"/>
    </x:row>
    <x:row r="2">
      <x:c r="A2" s="25" t="str">
        <x:v>Read-only project summary. Maintain project names and owners in Settings; task metrics come from Task Inbox.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A5" s="29" t="str">
        <x:v>Project</x:v>
      </x:c>
      <x:c r="B5" s="29" t="str">
        <x:v>Project Owner</x:v>
      </x:c>
      <x:c r="C5" s="29" t="str">
        <x:v>Status</x:v>
      </x:c>
      <x:c r="D5" s="29" t="str">
        <x:v>Total Tasks</x:v>
      </x:c>
      <x:c r="E5" s="29" t="str">
        <x:v>Open</x:v>
      </x:c>
      <x:c r="F5" s="29" t="str">
        <x:v>Overdue</x:v>
      </x:c>
      <x:c r="G5" s="29" t="str">
        <x:v>Blocked</x:v>
      </x:c>
      <x:c r="H5" s="29" t="str">
        <x:v>Waiting</x:v>
      </x:c>
      <x:c r="I5" s="29" t="str">
        <x:v>Completion</x:v>
      </x:c>
      <x:c r="J5" s="29"/>
    </x:row>
    <x:row r="6">
      <x:c r="A6" s="30" t="str">
        <x:f>IF(Settings!F5="","",Settings!F5)</x:f>
        <x:v>Weekly Ops</x:v>
      </x:c>
      <x:c r="B6" s="30" t="str">
        <x:f>IF(Settings!G5="","",Settings!G5)</x:f>
        <x:v>Me</x:v>
      </x:c>
      <x:c r="C6" s="30" t="str">
        <x:f>IF($A6="","",IF(G6&gt;0,"Blocked",IF(H6&gt;0,"Waiting on Others",IF(E6&gt;0,"In Progress",IF(D6&gt;0,"Done","Not Started")))))</x:f>
        <x:v>Not Started</x:v>
      </x:c>
      <x:c r="D6" s="30" t="n">
        <x:f>IF($A6="","",COUNTIFS('Task Inbox'!$D$6:$D$505,$A6,'Task Inbox'!$B$6:$B$505,"&lt;&gt;"))</x:f>
        <x:v>0</x:v>
      </x:c>
      <x:c r="E6" s="30" t="n">
        <x:f>IF($A6="","",COUNTIFS('Task Inbox'!$D$6:$D$505,$A6,'Task Inbox'!$G$6:$G$505,"&lt;&gt;Done",'Task Inbox'!$G$6:$G$505,"&lt;&gt;Canceled",'Task Inbox'!$B$6:$B$505,"&lt;&gt;"))</x:f>
        <x:v>0</x:v>
      </x:c>
      <x:c r="F6" s="30" t="n">
        <x:f>IF($A6="","",COUNTIFS('Task Inbox'!$D$6:$D$505,$A6,'Task Inbox'!$G$6:$G$505,"&lt;&gt;Done",'Task Inbox'!$G$6:$G$505,"&lt;&gt;Canceled",'Task Inbox'!$H$6:$H$505,"&lt;"&amp;TODAY(),'Task Inbox'!$B$6:$B$505,"&lt;&gt;"))</x:f>
        <x:v>0</x:v>
      </x:c>
      <x:c r="G6" s="30" t="n">
        <x:f>IF($A6="","",COUNTIFS('Task Inbox'!$D$6:$D$505,$A6,'Task Inbox'!$G$6:$G$505,"Blocked",'Task Inbox'!$B$6:$B$505,"&lt;&gt;"))</x:f>
        <x:v>0</x:v>
      </x:c>
      <x:c r="H6" s="30" t="n">
        <x:f>IF($A6="","",COUNTIFS('Task Inbox'!$D$6:$D$505,$A6,'Task Inbox'!$G$6:$G$505,"Waiting on Others",'Task Inbox'!$B$6:$B$505,"&lt;&gt;"))</x:f>
        <x:v>0</x:v>
      </x:c>
      <x:c r="I6" s="33" t="n">
        <x:f>IF($A6="","",IFERROR(COUNTIFS('Task Inbox'!$D$6:$D$505,$A6,'Task Inbox'!$G$6:$G$505,"Done")/D6,0))</x:f>
        <x:v>0</x:v>
      </x:c>
      <x:c r="J6" s="26"/>
    </x:row>
    <x:row r="7">
      <x:c r="A7" s="30" t="str">
        <x:f>IF(Settings!F6="","",Settings!F6)</x:f>
        <x:v>Customer Delivery</x:v>
      </x:c>
      <x:c r="B7" s="30" t="str">
        <x:f>IF(Settings!G6="","",Settings!G6)</x:f>
        <x:v>Alice</x:v>
      </x:c>
      <x:c r="C7" s="30" t="str">
        <x:f>IF($A7="","",IF(G7&gt;0,"Blocked",IF(H7&gt;0,"Waiting on Others",IF(E7&gt;0,"In Progress",IF(D7&gt;0,"Done","Not Started")))))</x:f>
        <x:v>Waiting on Others</x:v>
      </x:c>
      <x:c r="D7" s="30" t="n">
        <x:f>IF($A7="","",COUNTIFS('Task Inbox'!$D$6:$D$505,$A7,'Task Inbox'!$B$6:$B$505,"&lt;&gt;"))</x:f>
        <x:v>1</x:v>
      </x:c>
      <x:c r="E7" s="30" t="n">
        <x:f>IF($A7="","",COUNTIFS('Task Inbox'!$D$6:$D$505,$A7,'Task Inbox'!$G$6:$G$505,"&lt;&gt;Done",'Task Inbox'!$G$6:$G$505,"&lt;&gt;Canceled",'Task Inbox'!$B$6:$B$505,"&lt;&gt;"))</x:f>
        <x:v>1</x:v>
      </x:c>
      <x:c r="F7" s="30" t="n">
        <x:f>IF($A7="","",COUNTIFS('Task Inbox'!$D$6:$D$505,$A7,'Task Inbox'!$G$6:$G$505,"&lt;&gt;Done",'Task Inbox'!$G$6:$G$505,"&lt;&gt;Canceled",'Task Inbox'!$H$6:$H$505,"&lt;"&amp;TODAY(),'Task Inbox'!$B$6:$B$505,"&lt;&gt;"))</x:f>
        <x:v>0</x:v>
      </x:c>
      <x:c r="G7" s="30" t="n">
        <x:f>IF($A7="","",COUNTIFS('Task Inbox'!$D$6:$D$505,$A7,'Task Inbox'!$G$6:$G$505,"Blocked",'Task Inbox'!$B$6:$B$505,"&lt;&gt;"))</x:f>
        <x:v>0</x:v>
      </x:c>
      <x:c r="H7" s="30" t="n">
        <x:f>IF($A7="","",COUNTIFS('Task Inbox'!$D$6:$D$505,$A7,'Task Inbox'!$G$6:$G$505,"Waiting on Others",'Task Inbox'!$B$6:$B$505,"&lt;&gt;"))</x:f>
        <x:v>1</x:v>
      </x:c>
      <x:c r="I7" s="33" t="n">
        <x:f>IF($A7="","",IFERROR(COUNTIFS('Task Inbox'!$D$6:$D$505,$A7,'Task Inbox'!$G$6:$G$505,"Done")/D7,0))</x:f>
        <x:v>0</x:v>
      </x:c>
      <x:c r="J7" s="26"/>
    </x:row>
    <x:row r="8">
      <x:c r="A8" s="30" t="str">
        <x:f>IF(Settings!F7="","",Settings!F7)</x:f>
        <x:v>Product Improvements</x:v>
      </x:c>
      <x:c r="B8" s="30" t="str">
        <x:f>IF(Settings!G7="","",Settings!G7)</x:f>
        <x:v>Ben</x:v>
      </x:c>
      <x:c r="C8" s="30" t="str">
        <x:f>IF($A8="","",IF(G8&gt;0,"Blocked",IF(H8&gt;0,"Waiting on Others",IF(E8&gt;0,"In Progress",IF(D8&gt;0,"Done","Not Started")))))</x:f>
        <x:v>Done</x:v>
      </x:c>
      <x:c r="D8" s="30" t="n">
        <x:f>IF($A8="","",COUNTIFS('Task Inbox'!$D$6:$D$505,$A8,'Task Inbox'!$B$6:$B$505,"&lt;&gt;"))</x:f>
        <x:v>1</x:v>
      </x:c>
      <x:c r="E8" s="30" t="n">
        <x:f>IF($A8="","",COUNTIFS('Task Inbox'!$D$6:$D$505,$A8,'Task Inbox'!$G$6:$G$505,"&lt;&gt;Done",'Task Inbox'!$G$6:$G$505,"&lt;&gt;Canceled",'Task Inbox'!$B$6:$B$505,"&lt;&gt;"))</x:f>
        <x:v>0</x:v>
      </x:c>
      <x:c r="F8" s="30" t="n">
        <x:f>IF($A8="","",COUNTIFS('Task Inbox'!$D$6:$D$505,$A8,'Task Inbox'!$G$6:$G$505,"&lt;&gt;Done",'Task Inbox'!$G$6:$G$505,"&lt;&gt;Canceled",'Task Inbox'!$H$6:$H$505,"&lt;"&amp;TODAY(),'Task Inbox'!$B$6:$B$505,"&lt;&gt;"))</x:f>
        <x:v>0</x:v>
      </x:c>
      <x:c r="G8" s="30" t="n">
        <x:f>IF($A8="","",COUNTIFS('Task Inbox'!$D$6:$D$505,$A8,'Task Inbox'!$G$6:$G$505,"Blocked",'Task Inbox'!$B$6:$B$505,"&lt;&gt;"))</x:f>
        <x:v>0</x:v>
      </x:c>
      <x:c r="H8" s="30" t="n">
        <x:f>IF($A8="","",COUNTIFS('Task Inbox'!$D$6:$D$505,$A8,'Task Inbox'!$G$6:$G$505,"Waiting on Others",'Task Inbox'!$B$6:$B$505,"&lt;&gt;"))</x:f>
        <x:v>0</x:v>
      </x:c>
      <x:c r="I8" s="33" t="n">
        <x:f>IF($A8="","",IFERROR(COUNTIFS('Task Inbox'!$D$6:$D$505,$A8,'Task Inbox'!$G$6:$G$505,"Done")/D8,0))</x:f>
        <x:v>1</x:v>
      </x:c>
      <x:c r="J8" s="26"/>
    </x:row>
    <x:row r="9">
      <x:c r="A9" s="30" t="str">
        <x:f>IF(Settings!F8="","",Settings!F8)</x:f>
        <x:v>Team Management</x:v>
      </x:c>
      <x:c r="B9" s="30" t="str">
        <x:f>IF(Settings!G8="","",Settings!G8)</x:f>
        <x:v>Me</x:v>
      </x:c>
      <x:c r="C9" s="30" t="str">
        <x:f>IF($A9="","",IF(G9&gt;0,"Blocked",IF(H9&gt;0,"Waiting on Others",IF(E9&gt;0,"In Progress",IF(D9&gt;0,"Done","Not Started")))))</x:f>
        <x:v>In Progress</x:v>
      </x:c>
      <x:c r="D9" s="30" t="n">
        <x:f>IF($A9="","",COUNTIFS('Task Inbox'!$D$6:$D$505,$A9,'Task Inbox'!$B$6:$B$505,"&lt;&gt;"))</x:f>
        <x:v>1</x:v>
      </x:c>
      <x:c r="E9" s="30" t="n">
        <x:f>IF($A9="","",COUNTIFS('Task Inbox'!$D$6:$D$505,$A9,'Task Inbox'!$G$6:$G$505,"&lt;&gt;Done",'Task Inbox'!$G$6:$G$505,"&lt;&gt;Canceled",'Task Inbox'!$B$6:$B$505,"&lt;&gt;"))</x:f>
        <x:v>1</x:v>
      </x:c>
      <x:c r="F9" s="30" t="n">
        <x:f>IF($A9="","",COUNTIFS('Task Inbox'!$D$6:$D$505,$A9,'Task Inbox'!$G$6:$G$505,"&lt;&gt;Done",'Task Inbox'!$G$6:$G$505,"&lt;&gt;Canceled",'Task Inbox'!$H$6:$H$505,"&lt;"&amp;TODAY(),'Task Inbox'!$B$6:$B$505,"&lt;&gt;"))</x:f>
        <x:v>0</x:v>
      </x:c>
      <x:c r="G9" s="30" t="n">
        <x:f>IF($A9="","",COUNTIFS('Task Inbox'!$D$6:$D$505,$A9,'Task Inbox'!$G$6:$G$505,"Blocked",'Task Inbox'!$B$6:$B$505,"&lt;&gt;"))</x:f>
        <x:v>0</x:v>
      </x:c>
      <x:c r="H9" s="30" t="n">
        <x:f>IF($A9="","",COUNTIFS('Task Inbox'!$D$6:$D$505,$A9,'Task Inbox'!$G$6:$G$505,"Waiting on Others",'Task Inbox'!$B$6:$B$505,"&lt;&gt;"))</x:f>
        <x:v>0</x:v>
      </x:c>
      <x:c r="I9" s="33" t="n">
        <x:f>IF($A9="","",IFERROR(COUNTIFS('Task Inbox'!$D$6:$D$505,$A9,'Task Inbox'!$G$6:$G$505,"Done")/D9,0))</x:f>
        <x:v>0</x:v>
      </x:c>
      <x:c r="J9" s="26"/>
    </x:row>
    <x:row r="10">
      <x:c r="A10" s="30" t="str">
        <x:f>IF(Settings!F9="","",Settings!F9)</x:f>
        <x:v>Hiring</x:v>
      </x:c>
      <x:c r="B10" s="30" t="str">
        <x:f>IF(Settings!G9="","",Settings!G9)</x:f>
        <x:v>HR</x:v>
      </x:c>
      <x:c r="C10" s="30" t="str">
        <x:f>IF($A10="","",IF(G10&gt;0,"Blocked",IF(H10&gt;0,"Waiting on Others",IF(E10&gt;0,"In Progress",IF(D10&gt;0,"Done","Not Started")))))</x:f>
        <x:v>Blocked</x:v>
      </x:c>
      <x:c r="D10" s="30" t="n">
        <x:f>IF($A10="","",COUNTIFS('Task Inbox'!$D$6:$D$505,$A10,'Task Inbox'!$B$6:$B$505,"&lt;&gt;"))</x:f>
        <x:v>1</x:v>
      </x:c>
      <x:c r="E10" s="30" t="n">
        <x:f>IF($A10="","",COUNTIFS('Task Inbox'!$D$6:$D$505,$A10,'Task Inbox'!$G$6:$G$505,"&lt;&gt;Done",'Task Inbox'!$G$6:$G$505,"&lt;&gt;Canceled",'Task Inbox'!$B$6:$B$505,"&lt;&gt;"))</x:f>
        <x:v>1</x:v>
      </x:c>
      <x:c r="F10" s="30" t="n">
        <x:f>IF($A10="","",COUNTIFS('Task Inbox'!$D$6:$D$505,$A10,'Task Inbox'!$G$6:$G$505,"&lt;&gt;Done",'Task Inbox'!$G$6:$G$505,"&lt;&gt;Canceled",'Task Inbox'!$H$6:$H$505,"&lt;"&amp;TODAY(),'Task Inbox'!$B$6:$B$505,"&lt;&gt;"))</x:f>
        <x:v>1</x:v>
      </x:c>
      <x:c r="G10" s="30" t="n">
        <x:f>IF($A10="","",COUNTIFS('Task Inbox'!$D$6:$D$505,$A10,'Task Inbox'!$G$6:$G$505,"Blocked",'Task Inbox'!$B$6:$B$505,"&lt;&gt;"))</x:f>
        <x:v>1</x:v>
      </x:c>
      <x:c r="H10" s="30" t="n">
        <x:f>IF($A10="","",COUNTIFS('Task Inbox'!$D$6:$D$505,$A10,'Task Inbox'!$G$6:$G$505,"Waiting on Others",'Task Inbox'!$B$6:$B$505,"&lt;&gt;"))</x:f>
        <x:v>0</x:v>
      </x:c>
      <x:c r="I10" s="33" t="n">
        <x:f>IF($A10="","",IFERROR(COUNTIFS('Task Inbox'!$D$6:$D$505,$A10,'Task Inbox'!$G$6:$G$505,"Done")/D10,0))</x:f>
        <x:v>0</x:v>
      </x:c>
      <x:c r="J10" s="26"/>
    </x:row>
    <x:row r="11">
      <x:c r="A11" s="30" t="str">
        <x:f>IF(Settings!F10="","",Settings!F10)</x:f>
        <x:v>Budget Planning</x:v>
      </x:c>
      <x:c r="B11" s="30" t="str">
        <x:f>IF(Settings!G10="","",Settings!G10)</x:f>
        <x:v>Finance</x:v>
      </x:c>
      <x:c r="C11" s="30" t="str">
        <x:f>IF($A11="","",IF(G11&gt;0,"Blocked",IF(H11&gt;0,"Waiting on Others",IF(E11&gt;0,"In Progress",IF(D11&gt;0,"Done","Not Started")))))</x:f>
        <x:v>In Progress</x:v>
      </x:c>
      <x:c r="D11" s="30" t="n">
        <x:f>IF($A11="","",COUNTIFS('Task Inbox'!$D$6:$D$505,$A11,'Task Inbox'!$B$6:$B$505,"&lt;&gt;"))</x:f>
        <x:v>1</x:v>
      </x:c>
      <x:c r="E11" s="30" t="n">
        <x:f>IF($A11="","",COUNTIFS('Task Inbox'!$D$6:$D$505,$A11,'Task Inbox'!$G$6:$G$505,"&lt;&gt;Done",'Task Inbox'!$G$6:$G$505,"&lt;&gt;Canceled",'Task Inbox'!$B$6:$B$505,"&lt;&gt;"))</x:f>
        <x:v>1</x:v>
      </x:c>
      <x:c r="F11" s="30" t="n">
        <x:f>IF($A11="","",COUNTIFS('Task Inbox'!$D$6:$D$505,$A11,'Task Inbox'!$G$6:$G$505,"&lt;&gt;Done",'Task Inbox'!$G$6:$G$505,"&lt;&gt;Canceled",'Task Inbox'!$H$6:$H$505,"&lt;"&amp;TODAY(),'Task Inbox'!$B$6:$B$505,"&lt;&gt;"))</x:f>
        <x:v>0</x:v>
      </x:c>
      <x:c r="G11" s="30" t="n">
        <x:f>IF($A11="","",COUNTIFS('Task Inbox'!$D$6:$D$505,$A11,'Task Inbox'!$G$6:$G$505,"Blocked",'Task Inbox'!$B$6:$B$505,"&lt;&gt;"))</x:f>
        <x:v>0</x:v>
      </x:c>
      <x:c r="H11" s="30" t="n">
        <x:f>IF($A11="","",COUNTIFS('Task Inbox'!$D$6:$D$505,$A11,'Task Inbox'!$G$6:$G$505,"Waiting on Others",'Task Inbox'!$B$6:$B$505,"&lt;&gt;"))</x:f>
        <x:v>0</x:v>
      </x:c>
      <x:c r="I11" s="33" t="n">
        <x:f>IF($A11="","",IFERROR(COUNTIFS('Task Inbox'!$D$6:$D$505,$A11,'Task Inbox'!$G$6:$G$505,"Done")/D11,0))</x:f>
        <x:v>0</x:v>
      </x:c>
      <x:c r="J11" s="26"/>
    </x:row>
    <x:row r="12">
      <x:c r="A12" s="30" t="str">
        <x:f>IF(Settings!F11="","",Settings!F11)</x:f>
        <x:v>Process Optimization</x:v>
      </x:c>
      <x:c r="B12" s="30" t="str">
        <x:f>IF(Settings!G11="","",Settings!G11)</x:f>
        <x:v>Product</x:v>
      </x:c>
      <x:c r="C12" s="30" t="str">
        <x:f>IF($A12="","",IF(G12&gt;0,"Blocked",IF(H12&gt;0,"Waiting on Others",IF(E12&gt;0,"In Progress",IF(D12&gt;0,"Done","Not Started")))))</x:f>
        <x:v>In Progress</x:v>
      </x:c>
      <x:c r="D12" s="30" t="n">
        <x:f>IF($A12="","",COUNTIFS('Task Inbox'!$D$6:$D$505,$A12,'Task Inbox'!$B$6:$B$505,"&lt;&gt;"))</x:f>
        <x:v>1</x:v>
      </x:c>
      <x:c r="E12" s="30" t="n">
        <x:f>IF($A12="","",COUNTIFS('Task Inbox'!$D$6:$D$505,$A12,'Task Inbox'!$G$6:$G$505,"&lt;&gt;Done",'Task Inbox'!$G$6:$G$505,"&lt;&gt;Canceled",'Task Inbox'!$B$6:$B$505,"&lt;&gt;"))</x:f>
        <x:v>1</x:v>
      </x:c>
      <x:c r="F12" s="30" t="n">
        <x:f>IF($A12="","",COUNTIFS('Task Inbox'!$D$6:$D$505,$A12,'Task Inbox'!$G$6:$G$505,"&lt;&gt;Done",'Task Inbox'!$G$6:$G$505,"&lt;&gt;Canceled",'Task Inbox'!$H$6:$H$505,"&lt;"&amp;TODAY(),'Task Inbox'!$B$6:$B$505,"&lt;&gt;"))</x:f>
        <x:v>0</x:v>
      </x:c>
      <x:c r="G12" s="30" t="n">
        <x:f>IF($A12="","",COUNTIFS('Task Inbox'!$D$6:$D$505,$A12,'Task Inbox'!$G$6:$G$505,"Blocked",'Task Inbox'!$B$6:$B$505,"&lt;&gt;"))</x:f>
        <x:v>0</x:v>
      </x:c>
      <x:c r="H12" s="30" t="n">
        <x:f>IF($A12="","",COUNTIFS('Task Inbox'!$D$6:$D$505,$A12,'Task Inbox'!$G$6:$G$505,"Waiting on Others",'Task Inbox'!$B$6:$B$505,"&lt;&gt;"))</x:f>
        <x:v>0</x:v>
      </x:c>
      <x:c r="I12" s="33" t="n">
        <x:f>IF($A12="","",IFERROR(COUNTIFS('Task Inbox'!$D$6:$D$505,$A12,'Task Inbox'!$G$6:$G$505,"Done")/D12,0))</x:f>
        <x:v>0</x:v>
      </x:c>
      <x:c r="J12" s="26"/>
    </x:row>
    <x:row r="13">
      <x:c r="A13" s="30" t="str">
        <x:f>IF(Settings!F12="","",Settings!F12)</x:f>
        <x:v>Personal Management</x:v>
      </x:c>
      <x:c r="B13" s="30" t="str">
        <x:f>IF(Settings!G12="","",Settings!G12)</x:f>
        <x:v>Me</x:v>
      </x:c>
      <x:c r="C13" s="30" t="str">
        <x:f>IF($A13="","",IF(G13&gt;0,"Blocked",IF(H13&gt;0,"Waiting on Others",IF(E13&gt;0,"In Progress",IF(D13&gt;0,"Done","Not Started")))))</x:f>
        <x:v>Not Started</x:v>
      </x:c>
      <x:c r="D13" s="30" t="n">
        <x:f>IF($A13="","",COUNTIFS('Task Inbox'!$D$6:$D$505,$A13,'Task Inbox'!$B$6:$B$505,"&lt;&gt;"))</x:f>
        <x:v>0</x:v>
      </x:c>
      <x:c r="E13" s="30" t="n">
        <x:f>IF($A13="","",COUNTIFS('Task Inbox'!$D$6:$D$505,$A13,'Task Inbox'!$G$6:$G$505,"&lt;&gt;Done",'Task Inbox'!$G$6:$G$505,"&lt;&gt;Canceled",'Task Inbox'!$B$6:$B$505,"&lt;&gt;"))</x:f>
        <x:v>0</x:v>
      </x:c>
      <x:c r="F13" s="30" t="n">
        <x:f>IF($A13="","",COUNTIFS('Task Inbox'!$D$6:$D$505,$A13,'Task Inbox'!$G$6:$G$505,"&lt;&gt;Done",'Task Inbox'!$G$6:$G$505,"&lt;&gt;Canceled",'Task Inbox'!$H$6:$H$505,"&lt;"&amp;TODAY(),'Task Inbox'!$B$6:$B$505,"&lt;&gt;"))</x:f>
        <x:v>0</x:v>
      </x:c>
      <x:c r="G13" s="30" t="n">
        <x:f>IF($A13="","",COUNTIFS('Task Inbox'!$D$6:$D$505,$A13,'Task Inbox'!$G$6:$G$505,"Blocked",'Task Inbox'!$B$6:$B$505,"&lt;&gt;"))</x:f>
        <x:v>0</x:v>
      </x:c>
      <x:c r="H13" s="30" t="n">
        <x:f>IF($A13="","",COUNTIFS('Task Inbox'!$D$6:$D$505,$A13,'Task Inbox'!$G$6:$G$505,"Waiting on Others",'Task Inbox'!$B$6:$B$505,"&lt;&gt;"))</x:f>
        <x:v>0</x:v>
      </x:c>
      <x:c r="I13" s="33" t="n">
        <x:f>IF($A13="","",IFERROR(COUNTIFS('Task Inbox'!$D$6:$D$505,$A13,'Task Inbox'!$G$6:$G$505,"Done")/D13,0))</x:f>
        <x:v>0</x:v>
      </x:c>
      <x:c r="J13" s="26"/>
    </x:row>
    <x:row r="14">
      <x:c r="A14" s="30" t="str">
        <x:f>IF(Settings!F13="","",Settings!F13)</x:f>
        <x:v>Cross-functional</x:v>
      </x:c>
      <x:c r="B14" s="30" t="str">
        <x:f>IF(Settings!G13="","",Settings!G13)</x:f>
        <x:v>Me</x:v>
      </x:c>
      <x:c r="C14" s="30" t="str">
        <x:f>IF($A14="","",IF(G14&gt;0,"Blocked",IF(H14&gt;0,"Waiting on Others",IF(E14&gt;0,"In Progress",IF(D14&gt;0,"Done","Not Started")))))</x:f>
        <x:v>Not Started</x:v>
      </x:c>
      <x:c r="D14" s="30" t="n">
        <x:f>IF($A14="","",COUNTIFS('Task Inbox'!$D$6:$D$505,$A14,'Task Inbox'!$B$6:$B$505,"&lt;&gt;"))</x:f>
        <x:v>0</x:v>
      </x:c>
      <x:c r="E14" s="30" t="n">
        <x:f>IF($A14="","",COUNTIFS('Task Inbox'!$D$6:$D$505,$A14,'Task Inbox'!$G$6:$G$505,"&lt;&gt;Done",'Task Inbox'!$G$6:$G$505,"&lt;&gt;Canceled",'Task Inbox'!$B$6:$B$505,"&lt;&gt;"))</x:f>
        <x:v>0</x:v>
      </x:c>
      <x:c r="F14" s="30" t="n">
        <x:f>IF($A14="","",COUNTIFS('Task Inbox'!$D$6:$D$505,$A14,'Task Inbox'!$G$6:$G$505,"&lt;&gt;Done",'Task Inbox'!$G$6:$G$505,"&lt;&gt;Canceled",'Task Inbox'!$H$6:$H$505,"&lt;"&amp;TODAY(),'Task Inbox'!$B$6:$B$505,"&lt;&gt;"))</x:f>
        <x:v>0</x:v>
      </x:c>
      <x:c r="G14" s="30" t="n">
        <x:f>IF($A14="","",COUNTIFS('Task Inbox'!$D$6:$D$505,$A14,'Task Inbox'!$G$6:$G$505,"Blocked",'Task Inbox'!$B$6:$B$505,"&lt;&gt;"))</x:f>
        <x:v>0</x:v>
      </x:c>
      <x:c r="H14" s="30" t="n">
        <x:f>IF($A14="","",COUNTIFS('Task Inbox'!$D$6:$D$505,$A14,'Task Inbox'!$G$6:$G$505,"Waiting on Others",'Task Inbox'!$B$6:$B$505,"&lt;&gt;"))</x:f>
        <x:v>0</x:v>
      </x:c>
      <x:c r="I14" s="33" t="n">
        <x:f>IF($A14="","",IFERROR(COUNTIFS('Task Inbox'!$D$6:$D$505,$A14,'Task Inbox'!$G$6:$G$505,"Done")/D14,0))</x:f>
        <x:v>0</x:v>
      </x:c>
      <x:c r="J14" s="26"/>
    </x:row>
    <x:row r="15">
      <x:c r="A15" s="30" t="str">
        <x:f>IF(Settings!F14="","",Settings!F14)</x:f>
        <x:v>Risk Handling</x:v>
      </x:c>
      <x:c r="B15" s="30" t="str">
        <x:f>IF(Settings!G14="","",Settings!G14)</x:f>
        <x:v>Me</x:v>
      </x:c>
      <x:c r="C15" s="30" t="str">
        <x:f>IF($A15="","",IF(G15&gt;0,"Blocked",IF(H15&gt;0,"Waiting on Others",IF(E15&gt;0,"In Progress",IF(D15&gt;0,"Done","Not Started")))))</x:f>
        <x:v>Not Started</x:v>
      </x:c>
      <x:c r="D15" s="30" t="n">
        <x:f>IF($A15="","",COUNTIFS('Task Inbox'!$D$6:$D$505,$A15,'Task Inbox'!$B$6:$B$505,"&lt;&gt;"))</x:f>
        <x:v>0</x:v>
      </x:c>
      <x:c r="E15" s="30" t="n">
        <x:f>IF($A15="","",COUNTIFS('Task Inbox'!$D$6:$D$505,$A15,'Task Inbox'!$G$6:$G$505,"&lt;&gt;Done",'Task Inbox'!$G$6:$G$505,"&lt;&gt;Canceled",'Task Inbox'!$B$6:$B$505,"&lt;&gt;"))</x:f>
        <x:v>0</x:v>
      </x:c>
      <x:c r="F15" s="30" t="n">
        <x:f>IF($A15="","",COUNTIFS('Task Inbox'!$D$6:$D$505,$A15,'Task Inbox'!$G$6:$G$505,"&lt;&gt;Done",'Task Inbox'!$G$6:$G$505,"&lt;&gt;Canceled",'Task Inbox'!$H$6:$H$505,"&lt;"&amp;TODAY(),'Task Inbox'!$B$6:$B$505,"&lt;&gt;"))</x:f>
        <x:v>0</x:v>
      </x:c>
      <x:c r="G15" s="30" t="n">
        <x:f>IF($A15="","",COUNTIFS('Task Inbox'!$D$6:$D$505,$A15,'Task Inbox'!$G$6:$G$505,"Blocked",'Task Inbox'!$B$6:$B$505,"&lt;&gt;"))</x:f>
        <x:v>0</x:v>
      </x:c>
      <x:c r="H15" s="30" t="n">
        <x:f>IF($A15="","",COUNTIFS('Task Inbox'!$D$6:$D$505,$A15,'Task Inbox'!$G$6:$G$505,"Waiting on Others",'Task Inbox'!$B$6:$B$505,"&lt;&gt;"))</x:f>
        <x:v>0</x:v>
      </x:c>
      <x:c r="I15" s="33" t="n">
        <x:f>IF($A15="","",IFERROR(COUNTIFS('Task Inbox'!$D$6:$D$505,$A15,'Task Inbox'!$G$6:$G$505,"Done")/D15,0))</x:f>
        <x:v>0</x:v>
      </x:c>
      <x:c r="J15" s="26"/>
    </x:row>
    <x:row r="16">
      <x:c r="A16" s="30" t="str">
        <x:f>IF(Settings!F15="","",Settings!F15)</x:f>
      </x:c>
      <x:c r="B16" s="30" t="str">
        <x:f>IF(Settings!G15="","",Settings!G15)</x:f>
      </x:c>
      <x:c r="C16" s="30" t="str">
        <x:f>IF($A16="","",IF(G16&gt;0,"Blocked",IF(H16&gt;0,"Waiting on Others",IF(E16&gt;0,"In Progress",IF(D16&gt;0,"Done","Not Started")))))</x:f>
      </x:c>
      <x:c r="D16" s="30" t="str">
        <x:f>IF($A16="","",COUNTIFS('Task Inbox'!$D$6:$D$505,$A16,'Task Inbox'!$B$6:$B$505,"&lt;&gt;"))</x:f>
      </x:c>
      <x:c r="E16" s="30" t="str">
        <x:f>IF($A16="","",COUNTIFS('Task Inbox'!$D$6:$D$505,$A16,'Task Inbox'!$G$6:$G$505,"&lt;&gt;Done",'Task Inbox'!$G$6:$G$505,"&lt;&gt;Canceled",'Task Inbox'!$B$6:$B$505,"&lt;&gt;"))</x:f>
      </x:c>
      <x:c r="F16" s="30" t="str">
        <x:f>IF($A16="","",COUNTIFS('Task Inbox'!$D$6:$D$505,$A16,'Task Inbox'!$G$6:$G$505,"&lt;&gt;Done",'Task Inbox'!$G$6:$G$505,"&lt;&gt;Canceled",'Task Inbox'!$H$6:$H$505,"&lt;"&amp;TODAY(),'Task Inbox'!$B$6:$B$505,"&lt;&gt;"))</x:f>
      </x:c>
      <x:c r="G16" s="30" t="str">
        <x:f>IF($A16="","",COUNTIFS('Task Inbox'!$D$6:$D$505,$A16,'Task Inbox'!$G$6:$G$505,"Blocked",'Task Inbox'!$B$6:$B$505,"&lt;&gt;"))</x:f>
      </x:c>
      <x:c r="H16" s="30" t="str">
        <x:f>IF($A16="","",COUNTIFS('Task Inbox'!$D$6:$D$505,$A16,'Task Inbox'!$G$6:$G$505,"Waiting on Others",'Task Inbox'!$B$6:$B$505,"&lt;&gt;"))</x:f>
      </x:c>
      <x:c r="I16" s="33" t="str">
        <x:f>IF($A16="","",IFERROR(COUNTIFS('Task Inbox'!$D$6:$D$505,$A16,'Task Inbox'!$G$6:$G$505,"Done")/D16,0))</x:f>
      </x:c>
      <x:c r="J16" s="26"/>
    </x:row>
    <x:row r="17">
      <x:c r="A17" s="30" t="str">
        <x:f>IF(Settings!F16="","",Settings!F16)</x:f>
      </x:c>
      <x:c r="B17" s="30" t="str">
        <x:f>IF(Settings!G16="","",Settings!G16)</x:f>
      </x:c>
      <x:c r="C17" s="30" t="str">
        <x:f>IF($A17="","",IF(G17&gt;0,"Blocked",IF(H17&gt;0,"Waiting on Others",IF(E17&gt;0,"In Progress",IF(D17&gt;0,"Done","Not Started")))))</x:f>
      </x:c>
      <x:c r="D17" s="30" t="str">
        <x:f>IF($A17="","",COUNTIFS('Task Inbox'!$D$6:$D$505,$A17,'Task Inbox'!$B$6:$B$505,"&lt;&gt;"))</x:f>
      </x:c>
      <x:c r="E17" s="30" t="str">
        <x:f>IF($A17="","",COUNTIFS('Task Inbox'!$D$6:$D$505,$A17,'Task Inbox'!$G$6:$G$505,"&lt;&gt;Done",'Task Inbox'!$G$6:$G$505,"&lt;&gt;Canceled",'Task Inbox'!$B$6:$B$505,"&lt;&gt;"))</x:f>
      </x:c>
      <x:c r="F17" s="30" t="str">
        <x:f>IF($A17="","",COUNTIFS('Task Inbox'!$D$6:$D$505,$A17,'Task Inbox'!$G$6:$G$505,"&lt;&gt;Done",'Task Inbox'!$G$6:$G$505,"&lt;&gt;Canceled",'Task Inbox'!$H$6:$H$505,"&lt;"&amp;TODAY(),'Task Inbox'!$B$6:$B$505,"&lt;&gt;"))</x:f>
      </x:c>
      <x:c r="G17" s="30" t="str">
        <x:f>IF($A17="","",COUNTIFS('Task Inbox'!$D$6:$D$505,$A17,'Task Inbox'!$G$6:$G$505,"Blocked",'Task Inbox'!$B$6:$B$505,"&lt;&gt;"))</x:f>
      </x:c>
      <x:c r="H17" s="30" t="str">
        <x:f>IF($A17="","",COUNTIFS('Task Inbox'!$D$6:$D$505,$A17,'Task Inbox'!$G$6:$G$505,"Waiting on Others",'Task Inbox'!$B$6:$B$505,"&lt;&gt;"))</x:f>
      </x:c>
      <x:c r="I17" s="33" t="str">
        <x:f>IF($A17="","",IFERROR(COUNTIFS('Task Inbox'!$D$6:$D$505,$A17,'Task Inbox'!$G$6:$G$505,"Done")/D17,0))</x:f>
      </x:c>
      <x:c r="J17" s="26"/>
    </x:row>
    <x:row r="18">
      <x:c r="A18" s="30" t="str">
        <x:f>IF(Settings!F17="","",Settings!F17)</x:f>
      </x:c>
      <x:c r="B18" s="30" t="str">
        <x:f>IF(Settings!G17="","",Settings!G17)</x:f>
      </x:c>
      <x:c r="C18" s="30" t="str">
        <x:f>IF($A18="","",IF(G18&gt;0,"Blocked",IF(H18&gt;0,"Waiting on Others",IF(E18&gt;0,"In Progress",IF(D18&gt;0,"Done","Not Started")))))</x:f>
      </x:c>
      <x:c r="D18" s="30" t="str">
        <x:f>IF($A18="","",COUNTIFS('Task Inbox'!$D$6:$D$505,$A18,'Task Inbox'!$B$6:$B$505,"&lt;&gt;"))</x:f>
      </x:c>
      <x:c r="E18" s="30" t="str">
        <x:f>IF($A18="","",COUNTIFS('Task Inbox'!$D$6:$D$505,$A18,'Task Inbox'!$G$6:$G$505,"&lt;&gt;Done",'Task Inbox'!$G$6:$G$505,"&lt;&gt;Canceled",'Task Inbox'!$B$6:$B$505,"&lt;&gt;"))</x:f>
      </x:c>
      <x:c r="F18" s="30" t="str">
        <x:f>IF($A18="","",COUNTIFS('Task Inbox'!$D$6:$D$505,$A18,'Task Inbox'!$G$6:$G$505,"&lt;&gt;Done",'Task Inbox'!$G$6:$G$505,"&lt;&gt;Canceled",'Task Inbox'!$H$6:$H$505,"&lt;"&amp;TODAY(),'Task Inbox'!$B$6:$B$505,"&lt;&gt;"))</x:f>
      </x:c>
      <x:c r="G18" s="30" t="str">
        <x:f>IF($A18="","",COUNTIFS('Task Inbox'!$D$6:$D$505,$A18,'Task Inbox'!$G$6:$G$505,"Blocked",'Task Inbox'!$B$6:$B$505,"&lt;&gt;"))</x:f>
      </x:c>
      <x:c r="H18" s="30" t="str">
        <x:f>IF($A18="","",COUNTIFS('Task Inbox'!$D$6:$D$505,$A18,'Task Inbox'!$G$6:$G$505,"Waiting on Others",'Task Inbox'!$B$6:$B$505,"&lt;&gt;"))</x:f>
      </x:c>
      <x:c r="I18" s="33" t="str">
        <x:f>IF($A18="","",IFERROR(COUNTIFS('Task Inbox'!$D$6:$D$505,$A18,'Task Inbox'!$G$6:$G$505,"Done")/D18,0))</x:f>
      </x:c>
      <x:c r="J18" s="26"/>
    </x:row>
    <x:row r="19">
      <x:c r="A19" s="30" t="str">
        <x:f>IF(Settings!F18="","",Settings!F18)</x:f>
      </x:c>
      <x:c r="B19" s="30" t="str">
        <x:f>IF(Settings!G18="","",Settings!G18)</x:f>
      </x:c>
      <x:c r="C19" s="30" t="str">
        <x:f>IF($A19="","",IF(G19&gt;0,"Blocked",IF(H19&gt;0,"Waiting on Others",IF(E19&gt;0,"In Progress",IF(D19&gt;0,"Done","Not Started")))))</x:f>
      </x:c>
      <x:c r="D19" s="30" t="str">
        <x:f>IF($A19="","",COUNTIFS('Task Inbox'!$D$6:$D$505,$A19,'Task Inbox'!$B$6:$B$505,"&lt;&gt;"))</x:f>
      </x:c>
      <x:c r="E19" s="30" t="str">
        <x:f>IF($A19="","",COUNTIFS('Task Inbox'!$D$6:$D$505,$A19,'Task Inbox'!$G$6:$G$505,"&lt;&gt;Done",'Task Inbox'!$G$6:$G$505,"&lt;&gt;Canceled",'Task Inbox'!$B$6:$B$505,"&lt;&gt;"))</x:f>
      </x:c>
      <x:c r="F19" s="30" t="str">
        <x:f>IF($A19="","",COUNTIFS('Task Inbox'!$D$6:$D$505,$A19,'Task Inbox'!$G$6:$G$505,"&lt;&gt;Done",'Task Inbox'!$G$6:$G$505,"&lt;&gt;Canceled",'Task Inbox'!$H$6:$H$505,"&lt;"&amp;TODAY(),'Task Inbox'!$B$6:$B$505,"&lt;&gt;"))</x:f>
      </x:c>
      <x:c r="G19" s="30" t="str">
        <x:f>IF($A19="","",COUNTIFS('Task Inbox'!$D$6:$D$505,$A19,'Task Inbox'!$G$6:$G$505,"Blocked",'Task Inbox'!$B$6:$B$505,"&lt;&gt;"))</x:f>
      </x:c>
      <x:c r="H19" s="30" t="str">
        <x:f>IF($A19="","",COUNTIFS('Task Inbox'!$D$6:$D$505,$A19,'Task Inbox'!$G$6:$G$505,"Waiting on Others",'Task Inbox'!$B$6:$B$505,"&lt;&gt;"))</x:f>
      </x:c>
      <x:c r="I19" s="33" t="str">
        <x:f>IF($A19="","",IFERROR(COUNTIFS('Task Inbox'!$D$6:$D$505,$A19,'Task Inbox'!$G$6:$G$505,"Done")/D19,0))</x:f>
      </x:c>
      <x:c r="J19" s="26"/>
    </x:row>
    <x:row r="20">
      <x:c r="A20" s="30" t="str">
        <x:f>IF(Settings!F19="","",Settings!F19)</x:f>
      </x:c>
      <x:c r="B20" s="30" t="str">
        <x:f>IF(Settings!G19="","",Settings!G19)</x:f>
      </x:c>
      <x:c r="C20" s="30" t="str">
        <x:f>IF($A20="","",IF(G20&gt;0,"Blocked",IF(H20&gt;0,"Waiting on Others",IF(E20&gt;0,"In Progress",IF(D20&gt;0,"Done","Not Started")))))</x:f>
      </x:c>
      <x:c r="D20" s="30" t="str">
        <x:f>IF($A20="","",COUNTIFS('Task Inbox'!$D$6:$D$505,$A20,'Task Inbox'!$B$6:$B$505,"&lt;&gt;"))</x:f>
      </x:c>
      <x:c r="E20" s="30" t="str">
        <x:f>IF($A20="","",COUNTIFS('Task Inbox'!$D$6:$D$505,$A20,'Task Inbox'!$G$6:$G$505,"&lt;&gt;Done",'Task Inbox'!$G$6:$G$505,"&lt;&gt;Canceled",'Task Inbox'!$B$6:$B$505,"&lt;&gt;"))</x:f>
      </x:c>
      <x:c r="F20" s="30" t="str">
        <x:f>IF($A20="","",COUNTIFS('Task Inbox'!$D$6:$D$505,$A20,'Task Inbox'!$G$6:$G$505,"&lt;&gt;Done",'Task Inbox'!$G$6:$G$505,"&lt;&gt;Canceled",'Task Inbox'!$H$6:$H$505,"&lt;"&amp;TODAY(),'Task Inbox'!$B$6:$B$505,"&lt;&gt;"))</x:f>
      </x:c>
      <x:c r="G20" s="30" t="str">
        <x:f>IF($A20="","",COUNTIFS('Task Inbox'!$D$6:$D$505,$A20,'Task Inbox'!$G$6:$G$505,"Blocked",'Task Inbox'!$B$6:$B$505,"&lt;&gt;"))</x:f>
      </x:c>
      <x:c r="H20" s="30" t="str">
        <x:f>IF($A20="","",COUNTIFS('Task Inbox'!$D$6:$D$505,$A20,'Task Inbox'!$G$6:$G$505,"Waiting on Others",'Task Inbox'!$B$6:$B$505,"&lt;&gt;"))</x:f>
      </x:c>
      <x:c r="I20" s="33" t="str">
        <x:f>IF($A20="","",IFERROR(COUNTIFS('Task Inbox'!$D$6:$D$505,$A20,'Task Inbox'!$G$6:$G$505,"Done")/D20,0))</x:f>
      </x:c>
      <x:c r="J20" s="26"/>
    </x:row>
    <x:row r="21">
      <x:c r="A21" s="30" t="str">
        <x:f>IF(Settings!F20="","",Settings!F20)</x:f>
      </x:c>
      <x:c r="B21" s="30" t="str">
        <x:f>IF(Settings!G20="","",Settings!G20)</x:f>
      </x:c>
      <x:c r="C21" s="30" t="str">
        <x:f>IF($A21="","",IF(G21&gt;0,"Blocked",IF(H21&gt;0,"Waiting on Others",IF(E21&gt;0,"In Progress",IF(D21&gt;0,"Done","Not Started")))))</x:f>
      </x:c>
      <x:c r="D21" s="30" t="str">
        <x:f>IF($A21="","",COUNTIFS('Task Inbox'!$D$6:$D$505,$A21,'Task Inbox'!$B$6:$B$505,"&lt;&gt;"))</x:f>
      </x:c>
      <x:c r="E21" s="30" t="str">
        <x:f>IF($A21="","",COUNTIFS('Task Inbox'!$D$6:$D$505,$A21,'Task Inbox'!$G$6:$G$505,"&lt;&gt;Done",'Task Inbox'!$G$6:$G$505,"&lt;&gt;Canceled",'Task Inbox'!$B$6:$B$505,"&lt;&gt;"))</x:f>
      </x:c>
      <x:c r="F21" s="30" t="str">
        <x:f>IF($A21="","",COUNTIFS('Task Inbox'!$D$6:$D$505,$A21,'Task Inbox'!$G$6:$G$505,"&lt;&gt;Done",'Task Inbox'!$G$6:$G$505,"&lt;&gt;Canceled",'Task Inbox'!$H$6:$H$505,"&lt;"&amp;TODAY(),'Task Inbox'!$B$6:$B$505,"&lt;&gt;"))</x:f>
      </x:c>
      <x:c r="G21" s="30" t="str">
        <x:f>IF($A21="","",COUNTIFS('Task Inbox'!$D$6:$D$505,$A21,'Task Inbox'!$G$6:$G$505,"Blocked",'Task Inbox'!$B$6:$B$505,"&lt;&gt;"))</x:f>
      </x:c>
      <x:c r="H21" s="30" t="str">
        <x:f>IF($A21="","",COUNTIFS('Task Inbox'!$D$6:$D$505,$A21,'Task Inbox'!$G$6:$G$505,"Waiting on Others",'Task Inbox'!$B$6:$B$505,"&lt;&gt;"))</x:f>
      </x:c>
      <x:c r="I21" s="33" t="str">
        <x:f>IF($A21="","",IFERROR(COUNTIFS('Task Inbox'!$D$6:$D$505,$A21,'Task Inbox'!$G$6:$G$505,"Done")/D21,0))</x:f>
      </x:c>
      <x:c r="J21" s="26"/>
    </x:row>
    <x:row r="22">
      <x:c r="A22" s="30" t="str">
        <x:f>IF(Settings!F21="","",Settings!F21)</x:f>
      </x:c>
      <x:c r="B22" s="30" t="str">
        <x:f>IF(Settings!G21="","",Settings!G21)</x:f>
      </x:c>
      <x:c r="C22" s="30" t="str">
        <x:f>IF($A22="","",IF(G22&gt;0,"Blocked",IF(H22&gt;0,"Waiting on Others",IF(E22&gt;0,"In Progress",IF(D22&gt;0,"Done","Not Started")))))</x:f>
      </x:c>
      <x:c r="D22" s="30" t="str">
        <x:f>IF($A22="","",COUNTIFS('Task Inbox'!$D$6:$D$505,$A22,'Task Inbox'!$B$6:$B$505,"&lt;&gt;"))</x:f>
      </x:c>
      <x:c r="E22" s="30" t="str">
        <x:f>IF($A22="","",COUNTIFS('Task Inbox'!$D$6:$D$505,$A22,'Task Inbox'!$G$6:$G$505,"&lt;&gt;Done",'Task Inbox'!$G$6:$G$505,"&lt;&gt;Canceled",'Task Inbox'!$B$6:$B$505,"&lt;&gt;"))</x:f>
      </x:c>
      <x:c r="F22" s="30" t="str">
        <x:f>IF($A22="","",COUNTIFS('Task Inbox'!$D$6:$D$505,$A22,'Task Inbox'!$G$6:$G$505,"&lt;&gt;Done",'Task Inbox'!$G$6:$G$505,"&lt;&gt;Canceled",'Task Inbox'!$H$6:$H$505,"&lt;"&amp;TODAY(),'Task Inbox'!$B$6:$B$505,"&lt;&gt;"))</x:f>
      </x:c>
      <x:c r="G22" s="30" t="str">
        <x:f>IF($A22="","",COUNTIFS('Task Inbox'!$D$6:$D$505,$A22,'Task Inbox'!$G$6:$G$505,"Blocked",'Task Inbox'!$B$6:$B$505,"&lt;&gt;"))</x:f>
      </x:c>
      <x:c r="H22" s="30" t="str">
        <x:f>IF($A22="","",COUNTIFS('Task Inbox'!$D$6:$D$505,$A22,'Task Inbox'!$G$6:$G$505,"Waiting on Others",'Task Inbox'!$B$6:$B$505,"&lt;&gt;"))</x:f>
      </x:c>
      <x:c r="I22" s="33" t="str">
        <x:f>IF($A22="","",IFERROR(COUNTIFS('Task Inbox'!$D$6:$D$505,$A22,'Task Inbox'!$G$6:$G$505,"Done")/D22,0))</x:f>
      </x:c>
      <x:c r="J22" s="26"/>
    </x:row>
    <x:row r="23">
      <x:c r="A23" s="30" t="str">
        <x:f>IF(Settings!F22="","",Settings!F22)</x:f>
      </x:c>
      <x:c r="B23" s="30" t="str">
        <x:f>IF(Settings!G22="","",Settings!G22)</x:f>
      </x:c>
      <x:c r="C23" s="30" t="str">
        <x:f>IF($A23="","",IF(G23&gt;0,"Blocked",IF(H23&gt;0,"Waiting on Others",IF(E23&gt;0,"In Progress",IF(D23&gt;0,"Done","Not Started")))))</x:f>
      </x:c>
      <x:c r="D23" s="30" t="str">
        <x:f>IF($A23="","",COUNTIFS('Task Inbox'!$D$6:$D$505,$A23,'Task Inbox'!$B$6:$B$505,"&lt;&gt;"))</x:f>
      </x:c>
      <x:c r="E23" s="30" t="str">
        <x:f>IF($A23="","",COUNTIFS('Task Inbox'!$D$6:$D$505,$A23,'Task Inbox'!$G$6:$G$505,"&lt;&gt;Done",'Task Inbox'!$G$6:$G$505,"&lt;&gt;Canceled",'Task Inbox'!$B$6:$B$505,"&lt;&gt;"))</x:f>
      </x:c>
      <x:c r="F23" s="30" t="str">
        <x:f>IF($A23="","",COUNTIFS('Task Inbox'!$D$6:$D$505,$A23,'Task Inbox'!$G$6:$G$505,"&lt;&gt;Done",'Task Inbox'!$G$6:$G$505,"&lt;&gt;Canceled",'Task Inbox'!$H$6:$H$505,"&lt;"&amp;TODAY(),'Task Inbox'!$B$6:$B$505,"&lt;&gt;"))</x:f>
      </x:c>
      <x:c r="G23" s="30" t="str">
        <x:f>IF($A23="","",COUNTIFS('Task Inbox'!$D$6:$D$505,$A23,'Task Inbox'!$G$6:$G$505,"Blocked",'Task Inbox'!$B$6:$B$505,"&lt;&gt;"))</x:f>
      </x:c>
      <x:c r="H23" s="30" t="str">
        <x:f>IF($A23="","",COUNTIFS('Task Inbox'!$D$6:$D$505,$A23,'Task Inbox'!$G$6:$G$505,"Waiting on Others",'Task Inbox'!$B$6:$B$505,"&lt;&gt;"))</x:f>
      </x:c>
      <x:c r="I23" s="33" t="str">
        <x:f>IF($A23="","",IFERROR(COUNTIFS('Task Inbox'!$D$6:$D$505,$A23,'Task Inbox'!$G$6:$G$505,"Done")/D23,0))</x:f>
      </x:c>
      <x:c r="J23" s="26"/>
    </x:row>
    <x:row r="24">
      <x:c r="A24" s="30" t="str">
        <x:f>IF(Settings!F23="","",Settings!F23)</x:f>
      </x:c>
      <x:c r="B24" s="30" t="str">
        <x:f>IF(Settings!G23="","",Settings!G23)</x:f>
      </x:c>
      <x:c r="C24" s="30" t="str">
        <x:f>IF($A24="","",IF(G24&gt;0,"Blocked",IF(H24&gt;0,"Waiting on Others",IF(E24&gt;0,"In Progress",IF(D24&gt;0,"Done","Not Started")))))</x:f>
      </x:c>
      <x:c r="D24" s="30" t="str">
        <x:f>IF($A24="","",COUNTIFS('Task Inbox'!$D$6:$D$505,$A24,'Task Inbox'!$B$6:$B$505,"&lt;&gt;"))</x:f>
      </x:c>
      <x:c r="E24" s="30" t="str">
        <x:f>IF($A24="","",COUNTIFS('Task Inbox'!$D$6:$D$505,$A24,'Task Inbox'!$G$6:$G$505,"&lt;&gt;Done",'Task Inbox'!$G$6:$G$505,"&lt;&gt;Canceled",'Task Inbox'!$B$6:$B$505,"&lt;&gt;"))</x:f>
      </x:c>
      <x:c r="F24" s="30" t="str">
        <x:f>IF($A24="","",COUNTIFS('Task Inbox'!$D$6:$D$505,$A24,'Task Inbox'!$G$6:$G$505,"&lt;&gt;Done",'Task Inbox'!$G$6:$G$505,"&lt;&gt;Canceled",'Task Inbox'!$H$6:$H$505,"&lt;"&amp;TODAY(),'Task Inbox'!$B$6:$B$505,"&lt;&gt;"))</x:f>
      </x:c>
      <x:c r="G24" s="30" t="str">
        <x:f>IF($A24="","",COUNTIFS('Task Inbox'!$D$6:$D$505,$A24,'Task Inbox'!$G$6:$G$505,"Blocked",'Task Inbox'!$B$6:$B$505,"&lt;&gt;"))</x:f>
      </x:c>
      <x:c r="H24" s="30" t="str">
        <x:f>IF($A24="","",COUNTIFS('Task Inbox'!$D$6:$D$505,$A24,'Task Inbox'!$G$6:$G$505,"Waiting on Others",'Task Inbox'!$B$6:$B$505,"&lt;&gt;"))</x:f>
      </x:c>
      <x:c r="I24" s="33" t="str">
        <x:f>IF($A24="","",IFERROR(COUNTIFS('Task Inbox'!$D$6:$D$505,$A24,'Task Inbox'!$G$6:$G$505,"Done")/D24,0))</x:f>
      </x:c>
      <x:c r="J24" s="26"/>
    </x:row>
    <x:row r="25">
      <x:c r="A25" s="30" t="str">
        <x:f>IF(Settings!F24="","",Settings!F24)</x:f>
      </x:c>
      <x:c r="B25" s="30" t="str">
        <x:f>IF(Settings!G24="","",Settings!G24)</x:f>
      </x:c>
      <x:c r="C25" s="30" t="str">
        <x:f>IF($A25="","",IF(G25&gt;0,"Blocked",IF(H25&gt;0,"Waiting on Others",IF(E25&gt;0,"In Progress",IF(D25&gt;0,"Done","Not Started")))))</x:f>
      </x:c>
      <x:c r="D25" s="30" t="str">
        <x:f>IF($A25="","",COUNTIFS('Task Inbox'!$D$6:$D$505,$A25,'Task Inbox'!$B$6:$B$505,"&lt;&gt;"))</x:f>
      </x:c>
      <x:c r="E25" s="30" t="str">
        <x:f>IF($A25="","",COUNTIFS('Task Inbox'!$D$6:$D$505,$A25,'Task Inbox'!$G$6:$G$505,"&lt;&gt;Done",'Task Inbox'!$G$6:$G$505,"&lt;&gt;Canceled",'Task Inbox'!$B$6:$B$505,"&lt;&gt;"))</x:f>
      </x:c>
      <x:c r="F25" s="30" t="str">
        <x:f>IF($A25="","",COUNTIFS('Task Inbox'!$D$6:$D$505,$A25,'Task Inbox'!$G$6:$G$505,"&lt;&gt;Done",'Task Inbox'!$G$6:$G$505,"&lt;&gt;Canceled",'Task Inbox'!$H$6:$H$505,"&lt;"&amp;TODAY(),'Task Inbox'!$B$6:$B$505,"&lt;&gt;"))</x:f>
      </x:c>
      <x:c r="G25" s="30" t="str">
        <x:f>IF($A25="","",COUNTIFS('Task Inbox'!$D$6:$D$505,$A25,'Task Inbox'!$G$6:$G$505,"Blocked",'Task Inbox'!$B$6:$B$505,"&lt;&gt;"))</x:f>
      </x:c>
      <x:c r="H25" s="30" t="str">
        <x:f>IF($A25="","",COUNTIFS('Task Inbox'!$D$6:$D$505,$A25,'Task Inbox'!$G$6:$G$505,"Waiting on Others",'Task Inbox'!$B$6:$B$505,"&lt;&gt;"))</x:f>
      </x:c>
      <x:c r="I25" s="33" t="str">
        <x:f>IF($A25="","",IFERROR(COUNTIFS('Task Inbox'!$D$6:$D$505,$A25,'Task Inbox'!$G$6:$G$505,"Done")/D25,0))</x:f>
      </x:c>
      <x:c r="J25" s="26"/>
    </x:row>
  </x:sheetData>
  <x:pageMargins left="0.7" right="0.7" top="0.75" bottom="0.75" header="0.3" footer="0.3"/>
  <x:tableParts count="1">
    <x:tablePart xmlns:r="http://schemas.openxmlformats.org/officeDocument/2006/relationships" r:id="Rff9d1dbe73e54a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33.33000183105469" hidden="0" customWidth="1"/>
    <x:col min="3" max="3" width="18.889999389648438" hidden="0" customWidth="1"/>
    <x:col min="4" max="4" width="13.329999923706055" hidden="0" customWidth="1"/>
    <x:col min="5" max="5" width="13.329999923706055" hidden="0" customWidth="1"/>
    <x:col min="6" max="6" width="16.670000076293945" hidden="0" customWidth="1"/>
    <x:col min="7" max="7" width="12.779999732971191" hidden="0" customWidth="1"/>
    <x:col min="8" max="8" width="10" hidden="0" customWidth="1"/>
    <x:col min="9" max="9" width="31.110000610351562" hidden="0" customWidth="1"/>
    <x:col min="10" max="10" width="24.440000534057617" hidden="0" customWidth="1"/>
    <x:col min="11" max="11" width="12.779999732971191" hidden="0" customWidth="1"/>
  </x:cols>
  <x:sheetData>
    <x:row r="1" ht="31.5" customHeight="1">
      <x:c r="A1" s="2" t="str">
        <x:v>Delegated / Waiting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</x:row>
    <x:row r="2">
      <x:c r="A2" s="25" t="str">
        <x:v>Read-only formula view. It automatically shows delegated, blocked, and waiting-on-others tasks from Task Inbox.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A4" s="29" t="str">
        <x:v>ID</x:v>
      </x:c>
      <x:c r="B4" s="29" t="str">
        <x:v>Task</x:v>
      </x:c>
      <x:c r="C4" s="29" t="str">
        <x:v>Project</x:v>
      </x:c>
      <x:c r="D4" s="29" t="str">
        <x:v>Owner</x:v>
      </x:c>
      <x:c r="E4" s="29" t="str">
        <x:v>Priority</x:v>
      </x:c>
      <x:c r="F4" s="29" t="str">
        <x:v>Status</x:v>
      </x:c>
      <x:c r="G4" s="29" t="str">
        <x:v>Due Date</x:v>
      </x:c>
      <x:c r="H4" s="29" t="str">
        <x:v>Progress</x:v>
      </x:c>
      <x:c r="I4" s="29" t="str">
        <x:v>Next Step</x:v>
      </x:c>
      <x:c r="J4" s="29" t="str">
        <x:v>Blocker</x:v>
      </x:c>
      <x:c r="K4" s="29" t="str">
        <x:v>Last Updated</x:v>
      </x:c>
    </x:row>
    <x:row r="5">
      <x:c r="A5" s="30" t="str">
        <x:f>IFERROR(INDEX('Task Inbox'!A$6:A$505,MATCH(ROWS($A$5:A5),'Task Inbox'!$S$6:$S$505,0)),"")</x:f>
        <x:v>T-002</x:v>
      </x:c>
      <x:c r="B5" s="30" t="str">
        <x:f>IFERROR(INDEX('Task Inbox'!B$6:B$505,MATCH(ROWS($A$5:A5),'Task Inbox'!$S$6:$S$505,0)),"")</x:f>
        <x:v>Follow up on customer delivery risk list</x:v>
      </x:c>
      <x:c r="C5" s="30" t="str">
        <x:f>IFERROR(INDEX('Task Inbox'!D$6:D$505,MATCH(ROWS($A$5:A5),'Task Inbox'!$S$6:$S$505,0)),"")</x:f>
        <x:v>Customer Delivery</x:v>
      </x:c>
      <x:c r="D5" s="30" t="str">
        <x:f>IFERROR(INDEX('Task Inbox'!E$6:E$505,MATCH(ROWS($A$5:A5),'Task Inbox'!$S$6:$S$505,0)),"")</x:f>
        <x:v>Alice</x:v>
      </x:c>
      <x:c r="E5" s="30" t="str">
        <x:f>IFERROR(INDEX('Task Inbox'!F$6:F$505,MATCH(ROWS($A$5:A5),'Task Inbox'!$S$6:$S$505,0)),"")</x:f>
        <x:v>P1 High</x:v>
      </x:c>
      <x:c r="F5" s="30" t="str">
        <x:f>IFERROR(INDEX('Task Inbox'!G$6:G$505,MATCH(ROWS($A$5:A5),'Task Inbox'!$S$6:$S$505,0)),"")</x:f>
        <x:v>Waiting on Others</x:v>
      </x:c>
      <x:c r="G5" s="31" t="n">
        <x:f>IFERROR(INDEX('Task Inbox'!H$6:H$505,MATCH(ROWS($A$5:A5),'Task Inbox'!$S$6:$S$505,0)),"")</x:f>
        <x:v>46175</x:v>
      </x:c>
      <x:c r="H5" s="33" t="n">
        <x:f>IFERROR(INDEX('Task Inbox'!J$6:J$505,MATCH(ROWS($A$5:A5),'Task Inbox'!$S$6:$S$505,0)),"")</x:f>
        <x:v>0.35</x:v>
      </x:c>
      <x:c r="I5" s="30" t="str">
        <x:f>IFERROR(INDEX('Task Inbox'!K$6:K$505,MATCH(ROWS($A$5:A5),'Task Inbox'!$S$6:$S$505,0)),"")</x:f>
        <x:v>Waiting for risk rating from Alice</x:v>
      </x:c>
      <x:c r="J5" s="30" t="str">
        <x:f>IFERROR(INDEX('Task Inbox'!N$6:N$505,MATCH(ROWS($A$5:A5),'Task Inbox'!$S$6:$S$505,0)),"")</x:f>
      </x:c>
      <x:c r="K5" s="31" t="n">
        <x:f>IFERROR(INDEX('Task Inbox'!O$6:O$505,MATCH(ROWS($A$5:A5),'Task Inbox'!$S$6:$S$505,0)),"")</x:f>
        <x:v>46174</x:v>
      </x:c>
    </x:row>
    <x:row r="6">
      <x:c r="A6" s="30" t="str">
        <x:f>IFERROR(INDEX('Task Inbox'!A$6:A$505,MATCH(ROWS($A$5:A6),'Task Inbox'!$S$6:$S$505,0)),"")</x:f>
        <x:v>T-004</x:v>
      </x:c>
      <x:c r="B6" s="30" t="str">
        <x:f>IFERROR(INDEX('Task Inbox'!B$6:B$505,MATCH(ROWS($A$5:A6),'Task Inbox'!$S$6:$S$505,0)),"")</x:f>
        <x:v>Compile hiring interview feedback</x:v>
      </x:c>
      <x:c r="C6" s="30" t="str">
        <x:f>IFERROR(INDEX('Task Inbox'!D$6:D$505,MATCH(ROWS($A$5:A6),'Task Inbox'!$S$6:$S$505,0)),"")</x:f>
        <x:v>Hiring</x:v>
      </x:c>
      <x:c r="D6" s="30" t="str">
        <x:f>IFERROR(INDEX('Task Inbox'!E$6:E$505,MATCH(ROWS($A$5:A6),'Task Inbox'!$S$6:$S$505,0)),"")</x:f>
        <x:v>HR</x:v>
      </x:c>
      <x:c r="E6" s="30" t="str">
        <x:f>IFERROR(INDEX('Task Inbox'!F$6:F$505,MATCH(ROWS($A$5:A6),'Task Inbox'!$S$6:$S$505,0)),"")</x:f>
        <x:v>P2 Medium</x:v>
      </x:c>
      <x:c r="F6" s="30" t="str">
        <x:f>IFERROR(INDEX('Task Inbox'!G$6:G$505,MATCH(ROWS($A$5:A6),'Task Inbox'!$S$6:$S$505,0)),"")</x:f>
        <x:v>Blocked</x:v>
      </x:c>
      <x:c r="G6" s="31" t="n">
        <x:f>IFERROR(INDEX('Task Inbox'!H$6:H$505,MATCH(ROWS($A$5:A6),'Task Inbox'!$S$6:$S$505,0)),"")</x:f>
        <x:v>46172</x:v>
      </x:c>
      <x:c r="H6" s="33" t="n">
        <x:f>IFERROR(INDEX('Task Inbox'!J$6:J$505,MATCH(ROWS($A$5:A6),'Task Inbox'!$S$6:$S$505,0)),"")</x:f>
        <x:v>0.2</x:v>
      </x:c>
      <x:c r="I6" s="30" t="str">
        <x:f>IFERROR(INDEX('Task Inbox'!K$6:K$505,MATCH(ROWS($A$5:A6),'Task Inbox'!$S$6:$S$505,0)),"")</x:f>
        <x:v>Ask HR for missing scorecard</x:v>
      </x:c>
      <x:c r="J6" s="30" t="str">
        <x:f>IFERROR(INDEX('Task Inbox'!N$6:N$505,MATCH(ROWS($A$5:A6),'Task Inbox'!$S$6:$S$505,0)),"")</x:f>
        <x:v>Missing interviewer scorecard</x:v>
      </x:c>
      <x:c r="K6" s="31" t="n">
        <x:f>IFERROR(INDEX('Task Inbox'!O$6:O$505,MATCH(ROWS($A$5:A6),'Task Inbox'!$S$6:$S$505,0)),"")</x:f>
        <x:v>46174</x:v>
      </x:c>
    </x:row>
    <x:row r="7">
      <x:c r="A7" s="30" t="str">
        <x:f>IFERROR(INDEX('Task Inbox'!A$6:A$505,MATCH(ROWS($A$5:A7),'Task Inbox'!$S$6:$S$505,0)),"")</x:f>
        <x:v>T-006</x:v>
      </x:c>
      <x:c r="B7" s="30" t="str">
        <x:f>IFERROR(INDEX('Task Inbox'!B$6:B$505,MATCH(ROWS($A$5:A7),'Task Inbox'!$S$6:$S$505,0)),"")</x:f>
        <x:v>Map cross-functional SLA workflow</x:v>
      </x:c>
      <x:c r="C7" s="30" t="str">
        <x:f>IFERROR(INDEX('Task Inbox'!D$6:D$505,MATCH(ROWS($A$5:A7),'Task Inbox'!$S$6:$S$505,0)),"")</x:f>
        <x:v>Process Optimization</x:v>
      </x:c>
      <x:c r="D7" s="30" t="str">
        <x:f>IFERROR(INDEX('Task Inbox'!E$6:E$505,MATCH(ROWS($A$5:A7),'Task Inbox'!$S$6:$S$505,0)),"")</x:f>
        <x:v>Product</x:v>
      </x:c>
      <x:c r="E7" s="30" t="str">
        <x:f>IFERROR(INDEX('Task Inbox'!F$6:F$505,MATCH(ROWS($A$5:A7),'Task Inbox'!$S$6:$S$505,0)),"")</x:f>
        <x:v>P1 High</x:v>
      </x:c>
      <x:c r="F7" s="30" t="str">
        <x:f>IFERROR(INDEX('Task Inbox'!G$6:G$505,MATCH(ROWS($A$5:A7),'Task Inbox'!$S$6:$S$505,0)),"")</x:f>
        <x:v>In Progress</x:v>
      </x:c>
      <x:c r="G7" s="31" t="n">
        <x:f>IFERROR(INDEX('Task Inbox'!H$6:H$505,MATCH(ROWS($A$5:A7),'Task Inbox'!$S$6:$S$505,0)),"")</x:f>
        <x:v>46180</x:v>
      </x:c>
      <x:c r="H7" s="33" t="n">
        <x:f>IFERROR(INDEX('Task Inbox'!J$6:J$505,MATCH(ROWS($A$5:A7),'Task Inbox'!$S$6:$S$505,0)),"")</x:f>
        <x:v>0.65</x:v>
      </x:c>
      <x:c r="I7" s="30" t="str">
        <x:f>IFERROR(INDEX('Task Inbox'!K$6:K$505,MATCH(ROWS($A$5:A7),'Task Inbox'!$S$6:$S$505,0)),"")</x:f>
        <x:v>Add Legal review node</x:v>
      </x:c>
      <x:c r="J7" s="30" t="str">
        <x:f>IFERROR(INDEX('Task Inbox'!N$6:N$505,MATCH(ROWS($A$5:A7),'Task Inbox'!$S$6:$S$505,0)),"")</x:f>
      </x:c>
      <x:c r="K7" s="31" t="n">
        <x:f>IFERROR(INDEX('Task Inbox'!O$6:O$505,MATCH(ROWS($A$5:A7),'Task Inbox'!$S$6:$S$505,0)),"")</x:f>
        <x:v>46174</x:v>
      </x:c>
    </x:row>
    <x:row r="8">
      <x:c r="A8" s="30" t="str">
        <x:f>IFERROR(INDEX('Task Inbox'!A$6:A$505,MATCH(ROWS($A$5:A8),'Task Inbox'!$S$6:$S$505,0)),"")</x:f>
      </x:c>
      <x:c r="B8" s="30" t="str">
        <x:f>IFERROR(INDEX('Task Inbox'!B$6:B$505,MATCH(ROWS($A$5:A8),'Task Inbox'!$S$6:$S$505,0)),"")</x:f>
      </x:c>
      <x:c r="C8" s="30" t="str">
        <x:f>IFERROR(INDEX('Task Inbox'!D$6:D$505,MATCH(ROWS($A$5:A8),'Task Inbox'!$S$6:$S$505,0)),"")</x:f>
      </x:c>
      <x:c r="D8" s="30" t="str">
        <x:f>IFERROR(INDEX('Task Inbox'!E$6:E$505,MATCH(ROWS($A$5:A8),'Task Inbox'!$S$6:$S$505,0)),"")</x:f>
      </x:c>
      <x:c r="E8" s="30" t="str">
        <x:f>IFERROR(INDEX('Task Inbox'!F$6:F$505,MATCH(ROWS($A$5:A8),'Task Inbox'!$S$6:$S$505,0)),"")</x:f>
      </x:c>
      <x:c r="F8" s="30" t="str">
        <x:f>IFERROR(INDEX('Task Inbox'!G$6:G$505,MATCH(ROWS($A$5:A8),'Task Inbox'!$S$6:$S$505,0)),"")</x:f>
      </x:c>
      <x:c r="G8" s="31" t="str">
        <x:f>IFERROR(INDEX('Task Inbox'!H$6:H$505,MATCH(ROWS($A$5:A8),'Task Inbox'!$S$6:$S$505,0)),"")</x:f>
      </x:c>
      <x:c r="H8" s="33" t="str">
        <x:f>IFERROR(INDEX('Task Inbox'!J$6:J$505,MATCH(ROWS($A$5:A8),'Task Inbox'!$S$6:$S$505,0)),"")</x:f>
      </x:c>
      <x:c r="I8" s="30" t="str">
        <x:f>IFERROR(INDEX('Task Inbox'!K$6:K$505,MATCH(ROWS($A$5:A8),'Task Inbox'!$S$6:$S$505,0)),"")</x:f>
      </x:c>
      <x:c r="J8" s="30" t="str">
        <x:f>IFERROR(INDEX('Task Inbox'!N$6:N$505,MATCH(ROWS($A$5:A8),'Task Inbox'!$S$6:$S$505,0)),"")</x:f>
      </x:c>
      <x:c r="K8" s="31" t="str">
        <x:f>IFERROR(INDEX('Task Inbox'!O$6:O$505,MATCH(ROWS($A$5:A8),'Task Inbox'!$S$6:$S$505,0)),"")</x:f>
      </x:c>
    </x:row>
    <x:row r="9">
      <x:c r="A9" s="30" t="str">
        <x:f>IFERROR(INDEX('Task Inbox'!A$6:A$505,MATCH(ROWS($A$5:A9),'Task Inbox'!$S$6:$S$505,0)),"")</x:f>
      </x:c>
      <x:c r="B9" s="30" t="str">
        <x:f>IFERROR(INDEX('Task Inbox'!B$6:B$505,MATCH(ROWS($A$5:A9),'Task Inbox'!$S$6:$S$505,0)),"")</x:f>
      </x:c>
      <x:c r="C9" s="30" t="str">
        <x:f>IFERROR(INDEX('Task Inbox'!D$6:D$505,MATCH(ROWS($A$5:A9),'Task Inbox'!$S$6:$S$505,0)),"")</x:f>
      </x:c>
      <x:c r="D9" s="30" t="str">
        <x:f>IFERROR(INDEX('Task Inbox'!E$6:E$505,MATCH(ROWS($A$5:A9),'Task Inbox'!$S$6:$S$505,0)),"")</x:f>
      </x:c>
      <x:c r="E9" s="30" t="str">
        <x:f>IFERROR(INDEX('Task Inbox'!F$6:F$505,MATCH(ROWS($A$5:A9),'Task Inbox'!$S$6:$S$505,0)),"")</x:f>
      </x:c>
      <x:c r="F9" s="30" t="str">
        <x:f>IFERROR(INDEX('Task Inbox'!G$6:G$505,MATCH(ROWS($A$5:A9),'Task Inbox'!$S$6:$S$505,0)),"")</x:f>
      </x:c>
      <x:c r="G9" s="31" t="str">
        <x:f>IFERROR(INDEX('Task Inbox'!H$6:H$505,MATCH(ROWS($A$5:A9),'Task Inbox'!$S$6:$S$505,0)),"")</x:f>
      </x:c>
      <x:c r="H9" s="33" t="str">
        <x:f>IFERROR(INDEX('Task Inbox'!J$6:J$505,MATCH(ROWS($A$5:A9),'Task Inbox'!$S$6:$S$505,0)),"")</x:f>
      </x:c>
      <x:c r="I9" s="30" t="str">
        <x:f>IFERROR(INDEX('Task Inbox'!K$6:K$505,MATCH(ROWS($A$5:A9),'Task Inbox'!$S$6:$S$505,0)),"")</x:f>
      </x:c>
      <x:c r="J9" s="30" t="str">
        <x:f>IFERROR(INDEX('Task Inbox'!N$6:N$505,MATCH(ROWS($A$5:A9),'Task Inbox'!$S$6:$S$505,0)),"")</x:f>
      </x:c>
      <x:c r="K9" s="31" t="str">
        <x:f>IFERROR(INDEX('Task Inbox'!O$6:O$505,MATCH(ROWS($A$5:A9),'Task Inbox'!$S$6:$S$505,0)),"")</x:f>
      </x:c>
    </x:row>
    <x:row r="10">
      <x:c r="A10" s="30" t="str">
        <x:f>IFERROR(INDEX('Task Inbox'!A$6:A$505,MATCH(ROWS($A$5:A10),'Task Inbox'!$S$6:$S$505,0)),"")</x:f>
      </x:c>
      <x:c r="B10" s="30" t="str">
        <x:f>IFERROR(INDEX('Task Inbox'!B$6:B$505,MATCH(ROWS($A$5:A10),'Task Inbox'!$S$6:$S$505,0)),"")</x:f>
      </x:c>
      <x:c r="C10" s="30" t="str">
        <x:f>IFERROR(INDEX('Task Inbox'!D$6:D$505,MATCH(ROWS($A$5:A10),'Task Inbox'!$S$6:$S$505,0)),"")</x:f>
      </x:c>
      <x:c r="D10" s="30" t="str">
        <x:f>IFERROR(INDEX('Task Inbox'!E$6:E$505,MATCH(ROWS($A$5:A10),'Task Inbox'!$S$6:$S$505,0)),"")</x:f>
      </x:c>
      <x:c r="E10" s="30" t="str">
        <x:f>IFERROR(INDEX('Task Inbox'!F$6:F$505,MATCH(ROWS($A$5:A10),'Task Inbox'!$S$6:$S$505,0)),"")</x:f>
      </x:c>
      <x:c r="F10" s="30" t="str">
        <x:f>IFERROR(INDEX('Task Inbox'!G$6:G$505,MATCH(ROWS($A$5:A10),'Task Inbox'!$S$6:$S$505,0)),"")</x:f>
      </x:c>
      <x:c r="G10" s="31" t="str">
        <x:f>IFERROR(INDEX('Task Inbox'!H$6:H$505,MATCH(ROWS($A$5:A10),'Task Inbox'!$S$6:$S$505,0)),"")</x:f>
      </x:c>
      <x:c r="H10" s="33" t="str">
        <x:f>IFERROR(INDEX('Task Inbox'!J$6:J$505,MATCH(ROWS($A$5:A10),'Task Inbox'!$S$6:$S$505,0)),"")</x:f>
      </x:c>
      <x:c r="I10" s="30" t="str">
        <x:f>IFERROR(INDEX('Task Inbox'!K$6:K$505,MATCH(ROWS($A$5:A10),'Task Inbox'!$S$6:$S$505,0)),"")</x:f>
      </x:c>
      <x:c r="J10" s="30" t="str">
        <x:f>IFERROR(INDEX('Task Inbox'!N$6:N$505,MATCH(ROWS($A$5:A10),'Task Inbox'!$S$6:$S$505,0)),"")</x:f>
      </x:c>
      <x:c r="K10" s="31" t="str">
        <x:f>IFERROR(INDEX('Task Inbox'!O$6:O$505,MATCH(ROWS($A$5:A10),'Task Inbox'!$S$6:$S$505,0)),"")</x:f>
      </x:c>
    </x:row>
    <x:row r="11">
      <x:c r="A11" s="30" t="str">
        <x:f>IFERROR(INDEX('Task Inbox'!A$6:A$505,MATCH(ROWS($A$5:A11),'Task Inbox'!$S$6:$S$505,0)),"")</x:f>
      </x:c>
      <x:c r="B11" s="30" t="str">
        <x:f>IFERROR(INDEX('Task Inbox'!B$6:B$505,MATCH(ROWS($A$5:A11),'Task Inbox'!$S$6:$S$505,0)),"")</x:f>
      </x:c>
      <x:c r="C11" s="30" t="str">
        <x:f>IFERROR(INDEX('Task Inbox'!D$6:D$505,MATCH(ROWS($A$5:A11),'Task Inbox'!$S$6:$S$505,0)),"")</x:f>
      </x:c>
      <x:c r="D11" s="30" t="str">
        <x:f>IFERROR(INDEX('Task Inbox'!E$6:E$505,MATCH(ROWS($A$5:A11),'Task Inbox'!$S$6:$S$505,0)),"")</x:f>
      </x:c>
      <x:c r="E11" s="30" t="str">
        <x:f>IFERROR(INDEX('Task Inbox'!F$6:F$505,MATCH(ROWS($A$5:A11),'Task Inbox'!$S$6:$S$505,0)),"")</x:f>
      </x:c>
      <x:c r="F11" s="30" t="str">
        <x:f>IFERROR(INDEX('Task Inbox'!G$6:G$505,MATCH(ROWS($A$5:A11),'Task Inbox'!$S$6:$S$505,0)),"")</x:f>
      </x:c>
      <x:c r="G11" s="31" t="str">
        <x:f>IFERROR(INDEX('Task Inbox'!H$6:H$505,MATCH(ROWS($A$5:A11),'Task Inbox'!$S$6:$S$505,0)),"")</x:f>
      </x:c>
      <x:c r="H11" s="33" t="str">
        <x:f>IFERROR(INDEX('Task Inbox'!J$6:J$505,MATCH(ROWS($A$5:A11),'Task Inbox'!$S$6:$S$505,0)),"")</x:f>
      </x:c>
      <x:c r="I11" s="30" t="str">
        <x:f>IFERROR(INDEX('Task Inbox'!K$6:K$505,MATCH(ROWS($A$5:A11),'Task Inbox'!$S$6:$S$505,0)),"")</x:f>
      </x:c>
      <x:c r="J11" s="30" t="str">
        <x:f>IFERROR(INDEX('Task Inbox'!N$6:N$505,MATCH(ROWS($A$5:A11),'Task Inbox'!$S$6:$S$505,0)),"")</x:f>
      </x:c>
      <x:c r="K11" s="31" t="str">
        <x:f>IFERROR(INDEX('Task Inbox'!O$6:O$505,MATCH(ROWS($A$5:A11),'Task Inbox'!$S$6:$S$505,0)),"")</x:f>
      </x:c>
    </x:row>
    <x:row r="12">
      <x:c r="A12" s="30" t="str">
        <x:f>IFERROR(INDEX('Task Inbox'!A$6:A$505,MATCH(ROWS($A$5:A12),'Task Inbox'!$S$6:$S$505,0)),"")</x:f>
      </x:c>
      <x:c r="B12" s="30" t="str">
        <x:f>IFERROR(INDEX('Task Inbox'!B$6:B$505,MATCH(ROWS($A$5:A12),'Task Inbox'!$S$6:$S$505,0)),"")</x:f>
      </x:c>
      <x:c r="C12" s="30" t="str">
        <x:f>IFERROR(INDEX('Task Inbox'!D$6:D$505,MATCH(ROWS($A$5:A12),'Task Inbox'!$S$6:$S$505,0)),"")</x:f>
      </x:c>
      <x:c r="D12" s="30" t="str">
        <x:f>IFERROR(INDEX('Task Inbox'!E$6:E$505,MATCH(ROWS($A$5:A12),'Task Inbox'!$S$6:$S$505,0)),"")</x:f>
      </x:c>
      <x:c r="E12" s="30" t="str">
        <x:f>IFERROR(INDEX('Task Inbox'!F$6:F$505,MATCH(ROWS($A$5:A12),'Task Inbox'!$S$6:$S$505,0)),"")</x:f>
      </x:c>
      <x:c r="F12" s="30" t="str">
        <x:f>IFERROR(INDEX('Task Inbox'!G$6:G$505,MATCH(ROWS($A$5:A12),'Task Inbox'!$S$6:$S$505,0)),"")</x:f>
      </x:c>
      <x:c r="G12" s="31" t="str">
        <x:f>IFERROR(INDEX('Task Inbox'!H$6:H$505,MATCH(ROWS($A$5:A12),'Task Inbox'!$S$6:$S$505,0)),"")</x:f>
      </x:c>
      <x:c r="H12" s="33" t="str">
        <x:f>IFERROR(INDEX('Task Inbox'!J$6:J$505,MATCH(ROWS($A$5:A12),'Task Inbox'!$S$6:$S$505,0)),"")</x:f>
      </x:c>
      <x:c r="I12" s="30" t="str">
        <x:f>IFERROR(INDEX('Task Inbox'!K$6:K$505,MATCH(ROWS($A$5:A12),'Task Inbox'!$S$6:$S$505,0)),"")</x:f>
      </x:c>
      <x:c r="J12" s="30" t="str">
        <x:f>IFERROR(INDEX('Task Inbox'!N$6:N$505,MATCH(ROWS($A$5:A12),'Task Inbox'!$S$6:$S$505,0)),"")</x:f>
      </x:c>
      <x:c r="K12" s="31" t="str">
        <x:f>IFERROR(INDEX('Task Inbox'!O$6:O$505,MATCH(ROWS($A$5:A12),'Task Inbox'!$S$6:$S$505,0)),"")</x:f>
      </x:c>
    </x:row>
    <x:row r="13">
      <x:c r="A13" s="30" t="str">
        <x:f>IFERROR(INDEX('Task Inbox'!A$6:A$505,MATCH(ROWS($A$5:A13),'Task Inbox'!$S$6:$S$505,0)),"")</x:f>
      </x:c>
      <x:c r="B13" s="30" t="str">
        <x:f>IFERROR(INDEX('Task Inbox'!B$6:B$505,MATCH(ROWS($A$5:A13),'Task Inbox'!$S$6:$S$505,0)),"")</x:f>
      </x:c>
      <x:c r="C13" s="30" t="str">
        <x:f>IFERROR(INDEX('Task Inbox'!D$6:D$505,MATCH(ROWS($A$5:A13),'Task Inbox'!$S$6:$S$505,0)),"")</x:f>
      </x:c>
      <x:c r="D13" s="30" t="str">
        <x:f>IFERROR(INDEX('Task Inbox'!E$6:E$505,MATCH(ROWS($A$5:A13),'Task Inbox'!$S$6:$S$505,0)),"")</x:f>
      </x:c>
      <x:c r="E13" s="30" t="str">
        <x:f>IFERROR(INDEX('Task Inbox'!F$6:F$505,MATCH(ROWS($A$5:A13),'Task Inbox'!$S$6:$S$505,0)),"")</x:f>
      </x:c>
      <x:c r="F13" s="30" t="str">
        <x:f>IFERROR(INDEX('Task Inbox'!G$6:G$505,MATCH(ROWS($A$5:A13),'Task Inbox'!$S$6:$S$505,0)),"")</x:f>
      </x:c>
      <x:c r="G13" s="31" t="str">
        <x:f>IFERROR(INDEX('Task Inbox'!H$6:H$505,MATCH(ROWS($A$5:A13),'Task Inbox'!$S$6:$S$505,0)),"")</x:f>
      </x:c>
      <x:c r="H13" s="33" t="str">
        <x:f>IFERROR(INDEX('Task Inbox'!J$6:J$505,MATCH(ROWS($A$5:A13),'Task Inbox'!$S$6:$S$505,0)),"")</x:f>
      </x:c>
      <x:c r="I13" s="30" t="str">
        <x:f>IFERROR(INDEX('Task Inbox'!K$6:K$505,MATCH(ROWS($A$5:A13),'Task Inbox'!$S$6:$S$505,0)),"")</x:f>
      </x:c>
      <x:c r="J13" s="30" t="str">
        <x:f>IFERROR(INDEX('Task Inbox'!N$6:N$505,MATCH(ROWS($A$5:A13),'Task Inbox'!$S$6:$S$505,0)),"")</x:f>
      </x:c>
      <x:c r="K13" s="31" t="str">
        <x:f>IFERROR(INDEX('Task Inbox'!O$6:O$505,MATCH(ROWS($A$5:A13),'Task Inbox'!$S$6:$S$505,0)),"")</x:f>
      </x:c>
    </x:row>
    <x:row r="14">
      <x:c r="A14" s="30" t="str">
        <x:f>IFERROR(INDEX('Task Inbox'!A$6:A$505,MATCH(ROWS($A$5:A14),'Task Inbox'!$S$6:$S$505,0)),"")</x:f>
      </x:c>
      <x:c r="B14" s="30" t="str">
        <x:f>IFERROR(INDEX('Task Inbox'!B$6:B$505,MATCH(ROWS($A$5:A14),'Task Inbox'!$S$6:$S$505,0)),"")</x:f>
      </x:c>
      <x:c r="C14" s="30" t="str">
        <x:f>IFERROR(INDEX('Task Inbox'!D$6:D$505,MATCH(ROWS($A$5:A14),'Task Inbox'!$S$6:$S$505,0)),"")</x:f>
      </x:c>
      <x:c r="D14" s="30" t="str">
        <x:f>IFERROR(INDEX('Task Inbox'!E$6:E$505,MATCH(ROWS($A$5:A14),'Task Inbox'!$S$6:$S$505,0)),"")</x:f>
      </x:c>
      <x:c r="E14" s="30" t="str">
        <x:f>IFERROR(INDEX('Task Inbox'!F$6:F$505,MATCH(ROWS($A$5:A14),'Task Inbox'!$S$6:$S$505,0)),"")</x:f>
      </x:c>
      <x:c r="F14" s="30" t="str">
        <x:f>IFERROR(INDEX('Task Inbox'!G$6:G$505,MATCH(ROWS($A$5:A14),'Task Inbox'!$S$6:$S$505,0)),"")</x:f>
      </x:c>
      <x:c r="G14" s="31" t="str">
        <x:f>IFERROR(INDEX('Task Inbox'!H$6:H$505,MATCH(ROWS($A$5:A14),'Task Inbox'!$S$6:$S$505,0)),"")</x:f>
      </x:c>
      <x:c r="H14" s="33" t="str">
        <x:f>IFERROR(INDEX('Task Inbox'!J$6:J$505,MATCH(ROWS($A$5:A14),'Task Inbox'!$S$6:$S$505,0)),"")</x:f>
      </x:c>
      <x:c r="I14" s="30" t="str">
        <x:f>IFERROR(INDEX('Task Inbox'!K$6:K$505,MATCH(ROWS($A$5:A14),'Task Inbox'!$S$6:$S$505,0)),"")</x:f>
      </x:c>
      <x:c r="J14" s="30" t="str">
        <x:f>IFERROR(INDEX('Task Inbox'!N$6:N$505,MATCH(ROWS($A$5:A14),'Task Inbox'!$S$6:$S$505,0)),"")</x:f>
      </x:c>
      <x:c r="K14" s="31" t="str">
        <x:f>IFERROR(INDEX('Task Inbox'!O$6:O$505,MATCH(ROWS($A$5:A14),'Task Inbox'!$S$6:$S$505,0)),"")</x:f>
      </x:c>
    </x:row>
    <x:row r="15">
      <x:c r="A15" s="30" t="str">
        <x:f>IFERROR(INDEX('Task Inbox'!A$6:A$505,MATCH(ROWS($A$5:A15),'Task Inbox'!$S$6:$S$505,0)),"")</x:f>
      </x:c>
      <x:c r="B15" s="30" t="str">
        <x:f>IFERROR(INDEX('Task Inbox'!B$6:B$505,MATCH(ROWS($A$5:A15),'Task Inbox'!$S$6:$S$505,0)),"")</x:f>
      </x:c>
      <x:c r="C15" s="30" t="str">
        <x:f>IFERROR(INDEX('Task Inbox'!D$6:D$505,MATCH(ROWS($A$5:A15),'Task Inbox'!$S$6:$S$505,0)),"")</x:f>
      </x:c>
      <x:c r="D15" s="30" t="str">
        <x:f>IFERROR(INDEX('Task Inbox'!E$6:E$505,MATCH(ROWS($A$5:A15),'Task Inbox'!$S$6:$S$505,0)),"")</x:f>
      </x:c>
      <x:c r="E15" s="30" t="str">
        <x:f>IFERROR(INDEX('Task Inbox'!F$6:F$505,MATCH(ROWS($A$5:A15),'Task Inbox'!$S$6:$S$505,0)),"")</x:f>
      </x:c>
      <x:c r="F15" s="30" t="str">
        <x:f>IFERROR(INDEX('Task Inbox'!G$6:G$505,MATCH(ROWS($A$5:A15),'Task Inbox'!$S$6:$S$505,0)),"")</x:f>
      </x:c>
      <x:c r="G15" s="31" t="str">
        <x:f>IFERROR(INDEX('Task Inbox'!H$6:H$505,MATCH(ROWS($A$5:A15),'Task Inbox'!$S$6:$S$505,0)),"")</x:f>
      </x:c>
      <x:c r="H15" s="33" t="str">
        <x:f>IFERROR(INDEX('Task Inbox'!J$6:J$505,MATCH(ROWS($A$5:A15),'Task Inbox'!$S$6:$S$505,0)),"")</x:f>
      </x:c>
      <x:c r="I15" s="30" t="str">
        <x:f>IFERROR(INDEX('Task Inbox'!K$6:K$505,MATCH(ROWS($A$5:A15),'Task Inbox'!$S$6:$S$505,0)),"")</x:f>
      </x:c>
      <x:c r="J15" s="30" t="str">
        <x:f>IFERROR(INDEX('Task Inbox'!N$6:N$505,MATCH(ROWS($A$5:A15),'Task Inbox'!$S$6:$S$505,0)),"")</x:f>
      </x:c>
      <x:c r="K15" s="31" t="str">
        <x:f>IFERROR(INDEX('Task Inbox'!O$6:O$505,MATCH(ROWS($A$5:A15),'Task Inbox'!$S$6:$S$505,0)),"")</x:f>
      </x:c>
    </x:row>
    <x:row r="16">
      <x:c r="A16" s="30" t="str">
        <x:f>IFERROR(INDEX('Task Inbox'!A$6:A$505,MATCH(ROWS($A$5:A16),'Task Inbox'!$S$6:$S$505,0)),"")</x:f>
      </x:c>
      <x:c r="B16" s="30" t="str">
        <x:f>IFERROR(INDEX('Task Inbox'!B$6:B$505,MATCH(ROWS($A$5:A16),'Task Inbox'!$S$6:$S$505,0)),"")</x:f>
      </x:c>
      <x:c r="C16" s="30" t="str">
        <x:f>IFERROR(INDEX('Task Inbox'!D$6:D$505,MATCH(ROWS($A$5:A16),'Task Inbox'!$S$6:$S$505,0)),"")</x:f>
      </x:c>
      <x:c r="D16" s="30" t="str">
        <x:f>IFERROR(INDEX('Task Inbox'!E$6:E$505,MATCH(ROWS($A$5:A16),'Task Inbox'!$S$6:$S$505,0)),"")</x:f>
      </x:c>
      <x:c r="E16" s="30" t="str">
        <x:f>IFERROR(INDEX('Task Inbox'!F$6:F$505,MATCH(ROWS($A$5:A16),'Task Inbox'!$S$6:$S$505,0)),"")</x:f>
      </x:c>
      <x:c r="F16" s="30" t="str">
        <x:f>IFERROR(INDEX('Task Inbox'!G$6:G$505,MATCH(ROWS($A$5:A16),'Task Inbox'!$S$6:$S$505,0)),"")</x:f>
      </x:c>
      <x:c r="G16" s="31" t="str">
        <x:f>IFERROR(INDEX('Task Inbox'!H$6:H$505,MATCH(ROWS($A$5:A16),'Task Inbox'!$S$6:$S$505,0)),"")</x:f>
      </x:c>
      <x:c r="H16" s="33" t="str">
        <x:f>IFERROR(INDEX('Task Inbox'!J$6:J$505,MATCH(ROWS($A$5:A16),'Task Inbox'!$S$6:$S$505,0)),"")</x:f>
      </x:c>
      <x:c r="I16" s="30" t="str">
        <x:f>IFERROR(INDEX('Task Inbox'!K$6:K$505,MATCH(ROWS($A$5:A16),'Task Inbox'!$S$6:$S$505,0)),"")</x:f>
      </x:c>
      <x:c r="J16" s="30" t="str">
        <x:f>IFERROR(INDEX('Task Inbox'!N$6:N$505,MATCH(ROWS($A$5:A16),'Task Inbox'!$S$6:$S$505,0)),"")</x:f>
      </x:c>
      <x:c r="K16" s="31" t="str">
        <x:f>IFERROR(INDEX('Task Inbox'!O$6:O$505,MATCH(ROWS($A$5:A16),'Task Inbox'!$S$6:$S$505,0)),"")</x:f>
      </x:c>
    </x:row>
    <x:row r="17">
      <x:c r="A17" s="30" t="str">
        <x:f>IFERROR(INDEX('Task Inbox'!A$6:A$505,MATCH(ROWS($A$5:A17),'Task Inbox'!$S$6:$S$505,0)),"")</x:f>
      </x:c>
      <x:c r="B17" s="30" t="str">
        <x:f>IFERROR(INDEX('Task Inbox'!B$6:B$505,MATCH(ROWS($A$5:A17),'Task Inbox'!$S$6:$S$505,0)),"")</x:f>
      </x:c>
      <x:c r="C17" s="30" t="str">
        <x:f>IFERROR(INDEX('Task Inbox'!D$6:D$505,MATCH(ROWS($A$5:A17),'Task Inbox'!$S$6:$S$505,0)),"")</x:f>
      </x:c>
      <x:c r="D17" s="30" t="str">
        <x:f>IFERROR(INDEX('Task Inbox'!E$6:E$505,MATCH(ROWS($A$5:A17),'Task Inbox'!$S$6:$S$505,0)),"")</x:f>
      </x:c>
      <x:c r="E17" s="30" t="str">
        <x:f>IFERROR(INDEX('Task Inbox'!F$6:F$505,MATCH(ROWS($A$5:A17),'Task Inbox'!$S$6:$S$505,0)),"")</x:f>
      </x:c>
      <x:c r="F17" s="30" t="str">
        <x:f>IFERROR(INDEX('Task Inbox'!G$6:G$505,MATCH(ROWS($A$5:A17),'Task Inbox'!$S$6:$S$505,0)),"")</x:f>
      </x:c>
      <x:c r="G17" s="31" t="str">
        <x:f>IFERROR(INDEX('Task Inbox'!H$6:H$505,MATCH(ROWS($A$5:A17),'Task Inbox'!$S$6:$S$505,0)),"")</x:f>
      </x:c>
      <x:c r="H17" s="33" t="str">
        <x:f>IFERROR(INDEX('Task Inbox'!J$6:J$505,MATCH(ROWS($A$5:A17),'Task Inbox'!$S$6:$S$505,0)),"")</x:f>
      </x:c>
      <x:c r="I17" s="30" t="str">
        <x:f>IFERROR(INDEX('Task Inbox'!K$6:K$505,MATCH(ROWS($A$5:A17),'Task Inbox'!$S$6:$S$505,0)),"")</x:f>
      </x:c>
      <x:c r="J17" s="30" t="str">
        <x:f>IFERROR(INDEX('Task Inbox'!N$6:N$505,MATCH(ROWS($A$5:A17),'Task Inbox'!$S$6:$S$505,0)),"")</x:f>
      </x:c>
      <x:c r="K17" s="31" t="str">
        <x:f>IFERROR(INDEX('Task Inbox'!O$6:O$505,MATCH(ROWS($A$5:A17),'Task Inbox'!$S$6:$S$505,0)),"")</x:f>
      </x:c>
    </x:row>
    <x:row r="18">
      <x:c r="A18" s="30" t="str">
        <x:f>IFERROR(INDEX('Task Inbox'!A$6:A$505,MATCH(ROWS($A$5:A18),'Task Inbox'!$S$6:$S$505,0)),"")</x:f>
      </x:c>
      <x:c r="B18" s="30" t="str">
        <x:f>IFERROR(INDEX('Task Inbox'!B$6:B$505,MATCH(ROWS($A$5:A18),'Task Inbox'!$S$6:$S$505,0)),"")</x:f>
      </x:c>
      <x:c r="C18" s="30" t="str">
        <x:f>IFERROR(INDEX('Task Inbox'!D$6:D$505,MATCH(ROWS($A$5:A18),'Task Inbox'!$S$6:$S$505,0)),"")</x:f>
      </x:c>
      <x:c r="D18" s="30" t="str">
        <x:f>IFERROR(INDEX('Task Inbox'!E$6:E$505,MATCH(ROWS($A$5:A18),'Task Inbox'!$S$6:$S$505,0)),"")</x:f>
      </x:c>
      <x:c r="E18" s="30" t="str">
        <x:f>IFERROR(INDEX('Task Inbox'!F$6:F$505,MATCH(ROWS($A$5:A18),'Task Inbox'!$S$6:$S$505,0)),"")</x:f>
      </x:c>
      <x:c r="F18" s="30" t="str">
        <x:f>IFERROR(INDEX('Task Inbox'!G$6:G$505,MATCH(ROWS($A$5:A18),'Task Inbox'!$S$6:$S$505,0)),"")</x:f>
      </x:c>
      <x:c r="G18" s="31" t="str">
        <x:f>IFERROR(INDEX('Task Inbox'!H$6:H$505,MATCH(ROWS($A$5:A18),'Task Inbox'!$S$6:$S$505,0)),"")</x:f>
      </x:c>
      <x:c r="H18" s="33" t="str">
        <x:f>IFERROR(INDEX('Task Inbox'!J$6:J$505,MATCH(ROWS($A$5:A18),'Task Inbox'!$S$6:$S$505,0)),"")</x:f>
      </x:c>
      <x:c r="I18" s="30" t="str">
        <x:f>IFERROR(INDEX('Task Inbox'!K$6:K$505,MATCH(ROWS($A$5:A18),'Task Inbox'!$S$6:$S$505,0)),"")</x:f>
      </x:c>
      <x:c r="J18" s="30" t="str">
        <x:f>IFERROR(INDEX('Task Inbox'!N$6:N$505,MATCH(ROWS($A$5:A18),'Task Inbox'!$S$6:$S$505,0)),"")</x:f>
      </x:c>
      <x:c r="K18" s="31" t="str">
        <x:f>IFERROR(INDEX('Task Inbox'!O$6:O$505,MATCH(ROWS($A$5:A18),'Task Inbox'!$S$6:$S$505,0)),"")</x:f>
      </x:c>
    </x:row>
    <x:row r="19">
      <x:c r="A19" s="30" t="str">
        <x:f>IFERROR(INDEX('Task Inbox'!A$6:A$505,MATCH(ROWS($A$5:A19),'Task Inbox'!$S$6:$S$505,0)),"")</x:f>
      </x:c>
      <x:c r="B19" s="30" t="str">
        <x:f>IFERROR(INDEX('Task Inbox'!B$6:B$505,MATCH(ROWS($A$5:A19),'Task Inbox'!$S$6:$S$505,0)),"")</x:f>
      </x:c>
      <x:c r="C19" s="30" t="str">
        <x:f>IFERROR(INDEX('Task Inbox'!D$6:D$505,MATCH(ROWS($A$5:A19),'Task Inbox'!$S$6:$S$505,0)),"")</x:f>
      </x:c>
      <x:c r="D19" s="30" t="str">
        <x:f>IFERROR(INDEX('Task Inbox'!E$6:E$505,MATCH(ROWS($A$5:A19),'Task Inbox'!$S$6:$S$505,0)),"")</x:f>
      </x:c>
      <x:c r="E19" s="30" t="str">
        <x:f>IFERROR(INDEX('Task Inbox'!F$6:F$505,MATCH(ROWS($A$5:A19),'Task Inbox'!$S$6:$S$505,0)),"")</x:f>
      </x:c>
      <x:c r="F19" s="30" t="str">
        <x:f>IFERROR(INDEX('Task Inbox'!G$6:G$505,MATCH(ROWS($A$5:A19),'Task Inbox'!$S$6:$S$505,0)),"")</x:f>
      </x:c>
      <x:c r="G19" s="31" t="str">
        <x:f>IFERROR(INDEX('Task Inbox'!H$6:H$505,MATCH(ROWS($A$5:A19),'Task Inbox'!$S$6:$S$505,0)),"")</x:f>
      </x:c>
      <x:c r="H19" s="33" t="str">
        <x:f>IFERROR(INDEX('Task Inbox'!J$6:J$505,MATCH(ROWS($A$5:A19),'Task Inbox'!$S$6:$S$505,0)),"")</x:f>
      </x:c>
      <x:c r="I19" s="30" t="str">
        <x:f>IFERROR(INDEX('Task Inbox'!K$6:K$505,MATCH(ROWS($A$5:A19),'Task Inbox'!$S$6:$S$505,0)),"")</x:f>
      </x:c>
      <x:c r="J19" s="30" t="str">
        <x:f>IFERROR(INDEX('Task Inbox'!N$6:N$505,MATCH(ROWS($A$5:A19),'Task Inbox'!$S$6:$S$505,0)),"")</x:f>
      </x:c>
      <x:c r="K19" s="31" t="str">
        <x:f>IFERROR(INDEX('Task Inbox'!O$6:O$505,MATCH(ROWS($A$5:A19),'Task Inbox'!$S$6:$S$505,0)),"")</x:f>
      </x:c>
    </x:row>
    <x:row r="20">
      <x:c r="A20" s="30" t="str">
        <x:f>IFERROR(INDEX('Task Inbox'!A$6:A$505,MATCH(ROWS($A$5:A20),'Task Inbox'!$S$6:$S$505,0)),"")</x:f>
      </x:c>
      <x:c r="B20" s="30" t="str">
        <x:f>IFERROR(INDEX('Task Inbox'!B$6:B$505,MATCH(ROWS($A$5:A20),'Task Inbox'!$S$6:$S$505,0)),"")</x:f>
      </x:c>
      <x:c r="C20" s="30" t="str">
        <x:f>IFERROR(INDEX('Task Inbox'!D$6:D$505,MATCH(ROWS($A$5:A20),'Task Inbox'!$S$6:$S$505,0)),"")</x:f>
      </x:c>
      <x:c r="D20" s="30" t="str">
        <x:f>IFERROR(INDEX('Task Inbox'!E$6:E$505,MATCH(ROWS($A$5:A20),'Task Inbox'!$S$6:$S$505,0)),"")</x:f>
      </x:c>
      <x:c r="E20" s="30" t="str">
        <x:f>IFERROR(INDEX('Task Inbox'!F$6:F$505,MATCH(ROWS($A$5:A20),'Task Inbox'!$S$6:$S$505,0)),"")</x:f>
      </x:c>
      <x:c r="F20" s="30" t="str">
        <x:f>IFERROR(INDEX('Task Inbox'!G$6:G$505,MATCH(ROWS($A$5:A20),'Task Inbox'!$S$6:$S$505,0)),"")</x:f>
      </x:c>
      <x:c r="G20" s="31" t="str">
        <x:f>IFERROR(INDEX('Task Inbox'!H$6:H$505,MATCH(ROWS($A$5:A20),'Task Inbox'!$S$6:$S$505,0)),"")</x:f>
      </x:c>
      <x:c r="H20" s="33" t="str">
        <x:f>IFERROR(INDEX('Task Inbox'!J$6:J$505,MATCH(ROWS($A$5:A20),'Task Inbox'!$S$6:$S$505,0)),"")</x:f>
      </x:c>
      <x:c r="I20" s="30" t="str">
        <x:f>IFERROR(INDEX('Task Inbox'!K$6:K$505,MATCH(ROWS($A$5:A20),'Task Inbox'!$S$6:$S$505,0)),"")</x:f>
      </x:c>
      <x:c r="J20" s="30" t="str">
        <x:f>IFERROR(INDEX('Task Inbox'!N$6:N$505,MATCH(ROWS($A$5:A20),'Task Inbox'!$S$6:$S$505,0)),"")</x:f>
      </x:c>
      <x:c r="K20" s="31" t="str">
        <x:f>IFERROR(INDEX('Task Inbox'!O$6:O$505,MATCH(ROWS($A$5:A20),'Task Inbox'!$S$6:$S$505,0)),"")</x:f>
      </x:c>
    </x:row>
    <x:row r="21">
      <x:c r="A21" s="30" t="str">
        <x:f>IFERROR(INDEX('Task Inbox'!A$6:A$505,MATCH(ROWS($A$5:A21),'Task Inbox'!$S$6:$S$505,0)),"")</x:f>
      </x:c>
      <x:c r="B21" s="30" t="str">
        <x:f>IFERROR(INDEX('Task Inbox'!B$6:B$505,MATCH(ROWS($A$5:A21),'Task Inbox'!$S$6:$S$505,0)),"")</x:f>
      </x:c>
      <x:c r="C21" s="30" t="str">
        <x:f>IFERROR(INDEX('Task Inbox'!D$6:D$505,MATCH(ROWS($A$5:A21),'Task Inbox'!$S$6:$S$505,0)),"")</x:f>
      </x:c>
      <x:c r="D21" s="30" t="str">
        <x:f>IFERROR(INDEX('Task Inbox'!E$6:E$505,MATCH(ROWS($A$5:A21),'Task Inbox'!$S$6:$S$505,0)),"")</x:f>
      </x:c>
      <x:c r="E21" s="30" t="str">
        <x:f>IFERROR(INDEX('Task Inbox'!F$6:F$505,MATCH(ROWS($A$5:A21),'Task Inbox'!$S$6:$S$505,0)),"")</x:f>
      </x:c>
      <x:c r="F21" s="30" t="str">
        <x:f>IFERROR(INDEX('Task Inbox'!G$6:G$505,MATCH(ROWS($A$5:A21),'Task Inbox'!$S$6:$S$505,0)),"")</x:f>
      </x:c>
      <x:c r="G21" s="31" t="str">
        <x:f>IFERROR(INDEX('Task Inbox'!H$6:H$505,MATCH(ROWS($A$5:A21),'Task Inbox'!$S$6:$S$505,0)),"")</x:f>
      </x:c>
      <x:c r="H21" s="33" t="str">
        <x:f>IFERROR(INDEX('Task Inbox'!J$6:J$505,MATCH(ROWS($A$5:A21),'Task Inbox'!$S$6:$S$505,0)),"")</x:f>
      </x:c>
      <x:c r="I21" s="30" t="str">
        <x:f>IFERROR(INDEX('Task Inbox'!K$6:K$505,MATCH(ROWS($A$5:A21),'Task Inbox'!$S$6:$S$505,0)),"")</x:f>
      </x:c>
      <x:c r="J21" s="30" t="str">
        <x:f>IFERROR(INDEX('Task Inbox'!N$6:N$505,MATCH(ROWS($A$5:A21),'Task Inbox'!$S$6:$S$505,0)),"")</x:f>
      </x:c>
      <x:c r="K21" s="31" t="str">
        <x:f>IFERROR(INDEX('Task Inbox'!O$6:O$505,MATCH(ROWS($A$5:A21),'Task Inbox'!$S$6:$S$505,0)),"")</x:f>
      </x:c>
    </x:row>
    <x:row r="22">
      <x:c r="A22" s="30" t="str">
        <x:f>IFERROR(INDEX('Task Inbox'!A$6:A$505,MATCH(ROWS($A$5:A22),'Task Inbox'!$S$6:$S$505,0)),"")</x:f>
      </x:c>
      <x:c r="B22" s="30" t="str">
        <x:f>IFERROR(INDEX('Task Inbox'!B$6:B$505,MATCH(ROWS($A$5:A22),'Task Inbox'!$S$6:$S$505,0)),"")</x:f>
      </x:c>
      <x:c r="C22" s="30" t="str">
        <x:f>IFERROR(INDEX('Task Inbox'!D$6:D$505,MATCH(ROWS($A$5:A22),'Task Inbox'!$S$6:$S$505,0)),"")</x:f>
      </x:c>
      <x:c r="D22" s="30" t="str">
        <x:f>IFERROR(INDEX('Task Inbox'!E$6:E$505,MATCH(ROWS($A$5:A22),'Task Inbox'!$S$6:$S$505,0)),"")</x:f>
      </x:c>
      <x:c r="E22" s="30" t="str">
        <x:f>IFERROR(INDEX('Task Inbox'!F$6:F$505,MATCH(ROWS($A$5:A22),'Task Inbox'!$S$6:$S$505,0)),"")</x:f>
      </x:c>
      <x:c r="F22" s="30" t="str">
        <x:f>IFERROR(INDEX('Task Inbox'!G$6:G$505,MATCH(ROWS($A$5:A22),'Task Inbox'!$S$6:$S$505,0)),"")</x:f>
      </x:c>
      <x:c r="G22" s="31" t="str">
        <x:f>IFERROR(INDEX('Task Inbox'!H$6:H$505,MATCH(ROWS($A$5:A22),'Task Inbox'!$S$6:$S$505,0)),"")</x:f>
      </x:c>
      <x:c r="H22" s="33" t="str">
        <x:f>IFERROR(INDEX('Task Inbox'!J$6:J$505,MATCH(ROWS($A$5:A22),'Task Inbox'!$S$6:$S$505,0)),"")</x:f>
      </x:c>
      <x:c r="I22" s="30" t="str">
        <x:f>IFERROR(INDEX('Task Inbox'!K$6:K$505,MATCH(ROWS($A$5:A22),'Task Inbox'!$S$6:$S$505,0)),"")</x:f>
      </x:c>
      <x:c r="J22" s="30" t="str">
        <x:f>IFERROR(INDEX('Task Inbox'!N$6:N$505,MATCH(ROWS($A$5:A22),'Task Inbox'!$S$6:$S$505,0)),"")</x:f>
      </x:c>
      <x:c r="K22" s="31" t="str">
        <x:f>IFERROR(INDEX('Task Inbox'!O$6:O$505,MATCH(ROWS($A$5:A22),'Task Inbox'!$S$6:$S$505,0)),"")</x:f>
      </x:c>
    </x:row>
    <x:row r="23">
      <x:c r="A23" s="30" t="str">
        <x:f>IFERROR(INDEX('Task Inbox'!A$6:A$505,MATCH(ROWS($A$5:A23),'Task Inbox'!$S$6:$S$505,0)),"")</x:f>
      </x:c>
      <x:c r="B23" s="30" t="str">
        <x:f>IFERROR(INDEX('Task Inbox'!B$6:B$505,MATCH(ROWS($A$5:A23),'Task Inbox'!$S$6:$S$505,0)),"")</x:f>
      </x:c>
      <x:c r="C23" s="30" t="str">
        <x:f>IFERROR(INDEX('Task Inbox'!D$6:D$505,MATCH(ROWS($A$5:A23),'Task Inbox'!$S$6:$S$505,0)),"")</x:f>
      </x:c>
      <x:c r="D23" s="30" t="str">
        <x:f>IFERROR(INDEX('Task Inbox'!E$6:E$505,MATCH(ROWS($A$5:A23),'Task Inbox'!$S$6:$S$505,0)),"")</x:f>
      </x:c>
      <x:c r="E23" s="30" t="str">
        <x:f>IFERROR(INDEX('Task Inbox'!F$6:F$505,MATCH(ROWS($A$5:A23),'Task Inbox'!$S$6:$S$505,0)),"")</x:f>
      </x:c>
      <x:c r="F23" s="30" t="str">
        <x:f>IFERROR(INDEX('Task Inbox'!G$6:G$505,MATCH(ROWS($A$5:A23),'Task Inbox'!$S$6:$S$505,0)),"")</x:f>
      </x:c>
      <x:c r="G23" s="31" t="str">
        <x:f>IFERROR(INDEX('Task Inbox'!H$6:H$505,MATCH(ROWS($A$5:A23),'Task Inbox'!$S$6:$S$505,0)),"")</x:f>
      </x:c>
      <x:c r="H23" s="33" t="str">
        <x:f>IFERROR(INDEX('Task Inbox'!J$6:J$505,MATCH(ROWS($A$5:A23),'Task Inbox'!$S$6:$S$505,0)),"")</x:f>
      </x:c>
      <x:c r="I23" s="30" t="str">
        <x:f>IFERROR(INDEX('Task Inbox'!K$6:K$505,MATCH(ROWS($A$5:A23),'Task Inbox'!$S$6:$S$505,0)),"")</x:f>
      </x:c>
      <x:c r="J23" s="30" t="str">
        <x:f>IFERROR(INDEX('Task Inbox'!N$6:N$505,MATCH(ROWS($A$5:A23),'Task Inbox'!$S$6:$S$505,0)),"")</x:f>
      </x:c>
      <x:c r="K23" s="31" t="str">
        <x:f>IFERROR(INDEX('Task Inbox'!O$6:O$505,MATCH(ROWS($A$5:A23),'Task Inbox'!$S$6:$S$505,0)),"")</x:f>
      </x:c>
    </x:row>
    <x:row r="24">
      <x:c r="A24" s="30" t="str">
        <x:f>IFERROR(INDEX('Task Inbox'!A$6:A$505,MATCH(ROWS($A$5:A24),'Task Inbox'!$S$6:$S$505,0)),"")</x:f>
      </x:c>
      <x:c r="B24" s="30" t="str">
        <x:f>IFERROR(INDEX('Task Inbox'!B$6:B$505,MATCH(ROWS($A$5:A24),'Task Inbox'!$S$6:$S$505,0)),"")</x:f>
      </x:c>
      <x:c r="C24" s="30" t="str">
        <x:f>IFERROR(INDEX('Task Inbox'!D$6:D$505,MATCH(ROWS($A$5:A24),'Task Inbox'!$S$6:$S$505,0)),"")</x:f>
      </x:c>
      <x:c r="D24" s="30" t="str">
        <x:f>IFERROR(INDEX('Task Inbox'!E$6:E$505,MATCH(ROWS($A$5:A24),'Task Inbox'!$S$6:$S$505,0)),"")</x:f>
      </x:c>
      <x:c r="E24" s="30" t="str">
        <x:f>IFERROR(INDEX('Task Inbox'!F$6:F$505,MATCH(ROWS($A$5:A24),'Task Inbox'!$S$6:$S$505,0)),"")</x:f>
      </x:c>
      <x:c r="F24" s="30" t="str">
        <x:f>IFERROR(INDEX('Task Inbox'!G$6:G$505,MATCH(ROWS($A$5:A24),'Task Inbox'!$S$6:$S$505,0)),"")</x:f>
      </x:c>
      <x:c r="G24" s="31" t="str">
        <x:f>IFERROR(INDEX('Task Inbox'!H$6:H$505,MATCH(ROWS($A$5:A24),'Task Inbox'!$S$6:$S$505,0)),"")</x:f>
      </x:c>
      <x:c r="H24" s="33" t="str">
        <x:f>IFERROR(INDEX('Task Inbox'!J$6:J$505,MATCH(ROWS($A$5:A24),'Task Inbox'!$S$6:$S$505,0)),"")</x:f>
      </x:c>
      <x:c r="I24" s="30" t="str">
        <x:f>IFERROR(INDEX('Task Inbox'!K$6:K$505,MATCH(ROWS($A$5:A24),'Task Inbox'!$S$6:$S$505,0)),"")</x:f>
      </x:c>
      <x:c r="J24" s="30" t="str">
        <x:f>IFERROR(INDEX('Task Inbox'!N$6:N$505,MATCH(ROWS($A$5:A24),'Task Inbox'!$S$6:$S$505,0)),"")</x:f>
      </x:c>
      <x:c r="K24" s="31" t="str">
        <x:f>IFERROR(INDEX('Task Inbox'!O$6:O$505,MATCH(ROWS($A$5:A24),'Task Inbox'!$S$6:$S$505,0)),"")</x:f>
      </x:c>
    </x:row>
    <x:row r="25">
      <x:c r="A25" s="30" t="str">
        <x:f>IFERROR(INDEX('Task Inbox'!A$6:A$505,MATCH(ROWS($A$5:A25),'Task Inbox'!$S$6:$S$505,0)),"")</x:f>
      </x:c>
      <x:c r="B25" s="30" t="str">
        <x:f>IFERROR(INDEX('Task Inbox'!B$6:B$505,MATCH(ROWS($A$5:A25),'Task Inbox'!$S$6:$S$505,0)),"")</x:f>
      </x:c>
      <x:c r="C25" s="30" t="str">
        <x:f>IFERROR(INDEX('Task Inbox'!D$6:D$505,MATCH(ROWS($A$5:A25),'Task Inbox'!$S$6:$S$505,0)),"")</x:f>
      </x:c>
      <x:c r="D25" s="30" t="str">
        <x:f>IFERROR(INDEX('Task Inbox'!E$6:E$505,MATCH(ROWS($A$5:A25),'Task Inbox'!$S$6:$S$505,0)),"")</x:f>
      </x:c>
      <x:c r="E25" s="30" t="str">
        <x:f>IFERROR(INDEX('Task Inbox'!F$6:F$505,MATCH(ROWS($A$5:A25),'Task Inbox'!$S$6:$S$505,0)),"")</x:f>
      </x:c>
      <x:c r="F25" s="30" t="str">
        <x:f>IFERROR(INDEX('Task Inbox'!G$6:G$505,MATCH(ROWS($A$5:A25),'Task Inbox'!$S$6:$S$505,0)),"")</x:f>
      </x:c>
      <x:c r="G25" s="31" t="str">
        <x:f>IFERROR(INDEX('Task Inbox'!H$6:H$505,MATCH(ROWS($A$5:A25),'Task Inbox'!$S$6:$S$505,0)),"")</x:f>
      </x:c>
      <x:c r="H25" s="33" t="str">
        <x:f>IFERROR(INDEX('Task Inbox'!J$6:J$505,MATCH(ROWS($A$5:A25),'Task Inbox'!$S$6:$S$505,0)),"")</x:f>
      </x:c>
      <x:c r="I25" s="30" t="str">
        <x:f>IFERROR(INDEX('Task Inbox'!K$6:K$505,MATCH(ROWS($A$5:A25),'Task Inbox'!$S$6:$S$505,0)),"")</x:f>
      </x:c>
      <x:c r="J25" s="30" t="str">
        <x:f>IFERROR(INDEX('Task Inbox'!N$6:N$505,MATCH(ROWS($A$5:A25),'Task Inbox'!$S$6:$S$505,0)),"")</x:f>
      </x:c>
      <x:c r="K25" s="31" t="str">
        <x:f>IFERROR(INDEX('Task Inbox'!O$6:O$505,MATCH(ROWS($A$5:A25),'Task Inbox'!$S$6:$S$505,0)),"")</x:f>
      </x:c>
    </x:row>
    <x:row r="26">
      <x:c r="A26" s="30" t="str">
        <x:f>IFERROR(INDEX('Task Inbox'!A$6:A$505,MATCH(ROWS($A$5:A26),'Task Inbox'!$S$6:$S$505,0)),"")</x:f>
      </x:c>
      <x:c r="B26" s="30" t="str">
        <x:f>IFERROR(INDEX('Task Inbox'!B$6:B$505,MATCH(ROWS($A$5:A26),'Task Inbox'!$S$6:$S$505,0)),"")</x:f>
      </x:c>
      <x:c r="C26" s="30" t="str">
        <x:f>IFERROR(INDEX('Task Inbox'!D$6:D$505,MATCH(ROWS($A$5:A26),'Task Inbox'!$S$6:$S$505,0)),"")</x:f>
      </x:c>
      <x:c r="D26" s="30" t="str">
        <x:f>IFERROR(INDEX('Task Inbox'!E$6:E$505,MATCH(ROWS($A$5:A26),'Task Inbox'!$S$6:$S$505,0)),"")</x:f>
      </x:c>
      <x:c r="E26" s="30" t="str">
        <x:f>IFERROR(INDEX('Task Inbox'!F$6:F$505,MATCH(ROWS($A$5:A26),'Task Inbox'!$S$6:$S$505,0)),"")</x:f>
      </x:c>
      <x:c r="F26" s="30" t="str">
        <x:f>IFERROR(INDEX('Task Inbox'!G$6:G$505,MATCH(ROWS($A$5:A26),'Task Inbox'!$S$6:$S$505,0)),"")</x:f>
      </x:c>
      <x:c r="G26" s="31" t="str">
        <x:f>IFERROR(INDEX('Task Inbox'!H$6:H$505,MATCH(ROWS($A$5:A26),'Task Inbox'!$S$6:$S$505,0)),"")</x:f>
      </x:c>
      <x:c r="H26" s="33" t="str">
        <x:f>IFERROR(INDEX('Task Inbox'!J$6:J$505,MATCH(ROWS($A$5:A26),'Task Inbox'!$S$6:$S$505,0)),"")</x:f>
      </x:c>
      <x:c r="I26" s="30" t="str">
        <x:f>IFERROR(INDEX('Task Inbox'!K$6:K$505,MATCH(ROWS($A$5:A26),'Task Inbox'!$S$6:$S$505,0)),"")</x:f>
      </x:c>
      <x:c r="J26" s="30" t="str">
        <x:f>IFERROR(INDEX('Task Inbox'!N$6:N$505,MATCH(ROWS($A$5:A26),'Task Inbox'!$S$6:$S$505,0)),"")</x:f>
      </x:c>
      <x:c r="K26" s="31" t="str">
        <x:f>IFERROR(INDEX('Task Inbox'!O$6:O$505,MATCH(ROWS($A$5:A26),'Task Inbox'!$S$6:$S$505,0)),"")</x:f>
      </x:c>
    </x:row>
    <x:row r="27">
      <x:c r="A27" s="30" t="str">
        <x:f>IFERROR(INDEX('Task Inbox'!A$6:A$505,MATCH(ROWS($A$5:A27),'Task Inbox'!$S$6:$S$505,0)),"")</x:f>
      </x:c>
      <x:c r="B27" s="30" t="str">
        <x:f>IFERROR(INDEX('Task Inbox'!B$6:B$505,MATCH(ROWS($A$5:A27),'Task Inbox'!$S$6:$S$505,0)),"")</x:f>
      </x:c>
      <x:c r="C27" s="30" t="str">
        <x:f>IFERROR(INDEX('Task Inbox'!D$6:D$505,MATCH(ROWS($A$5:A27),'Task Inbox'!$S$6:$S$505,0)),"")</x:f>
      </x:c>
      <x:c r="D27" s="30" t="str">
        <x:f>IFERROR(INDEX('Task Inbox'!E$6:E$505,MATCH(ROWS($A$5:A27),'Task Inbox'!$S$6:$S$505,0)),"")</x:f>
      </x:c>
      <x:c r="E27" s="30" t="str">
        <x:f>IFERROR(INDEX('Task Inbox'!F$6:F$505,MATCH(ROWS($A$5:A27),'Task Inbox'!$S$6:$S$505,0)),"")</x:f>
      </x:c>
      <x:c r="F27" s="30" t="str">
        <x:f>IFERROR(INDEX('Task Inbox'!G$6:G$505,MATCH(ROWS($A$5:A27),'Task Inbox'!$S$6:$S$505,0)),"")</x:f>
      </x:c>
      <x:c r="G27" s="31" t="str">
        <x:f>IFERROR(INDEX('Task Inbox'!H$6:H$505,MATCH(ROWS($A$5:A27),'Task Inbox'!$S$6:$S$505,0)),"")</x:f>
      </x:c>
      <x:c r="H27" s="33" t="str">
        <x:f>IFERROR(INDEX('Task Inbox'!J$6:J$505,MATCH(ROWS($A$5:A27),'Task Inbox'!$S$6:$S$505,0)),"")</x:f>
      </x:c>
      <x:c r="I27" s="30" t="str">
        <x:f>IFERROR(INDEX('Task Inbox'!K$6:K$505,MATCH(ROWS($A$5:A27),'Task Inbox'!$S$6:$S$505,0)),"")</x:f>
      </x:c>
      <x:c r="J27" s="30" t="str">
        <x:f>IFERROR(INDEX('Task Inbox'!N$6:N$505,MATCH(ROWS($A$5:A27),'Task Inbox'!$S$6:$S$505,0)),"")</x:f>
      </x:c>
      <x:c r="K27" s="31" t="str">
        <x:f>IFERROR(INDEX('Task Inbox'!O$6:O$505,MATCH(ROWS($A$5:A27),'Task Inbox'!$S$6:$S$505,0)),"")</x:f>
      </x:c>
    </x:row>
    <x:row r="28">
      <x:c r="A28" s="30" t="str">
        <x:f>IFERROR(INDEX('Task Inbox'!A$6:A$505,MATCH(ROWS($A$5:A28),'Task Inbox'!$S$6:$S$505,0)),"")</x:f>
      </x:c>
      <x:c r="B28" s="30" t="str">
        <x:f>IFERROR(INDEX('Task Inbox'!B$6:B$505,MATCH(ROWS($A$5:A28),'Task Inbox'!$S$6:$S$505,0)),"")</x:f>
      </x:c>
      <x:c r="C28" s="30" t="str">
        <x:f>IFERROR(INDEX('Task Inbox'!D$6:D$505,MATCH(ROWS($A$5:A28),'Task Inbox'!$S$6:$S$505,0)),"")</x:f>
      </x:c>
      <x:c r="D28" s="30" t="str">
        <x:f>IFERROR(INDEX('Task Inbox'!E$6:E$505,MATCH(ROWS($A$5:A28),'Task Inbox'!$S$6:$S$505,0)),"")</x:f>
      </x:c>
      <x:c r="E28" s="30" t="str">
        <x:f>IFERROR(INDEX('Task Inbox'!F$6:F$505,MATCH(ROWS($A$5:A28),'Task Inbox'!$S$6:$S$505,0)),"")</x:f>
      </x:c>
      <x:c r="F28" s="30" t="str">
        <x:f>IFERROR(INDEX('Task Inbox'!G$6:G$505,MATCH(ROWS($A$5:A28),'Task Inbox'!$S$6:$S$505,0)),"")</x:f>
      </x:c>
      <x:c r="G28" s="31" t="str">
        <x:f>IFERROR(INDEX('Task Inbox'!H$6:H$505,MATCH(ROWS($A$5:A28),'Task Inbox'!$S$6:$S$505,0)),"")</x:f>
      </x:c>
      <x:c r="H28" s="33" t="str">
        <x:f>IFERROR(INDEX('Task Inbox'!J$6:J$505,MATCH(ROWS($A$5:A28),'Task Inbox'!$S$6:$S$505,0)),"")</x:f>
      </x:c>
      <x:c r="I28" s="30" t="str">
        <x:f>IFERROR(INDEX('Task Inbox'!K$6:K$505,MATCH(ROWS($A$5:A28),'Task Inbox'!$S$6:$S$505,0)),"")</x:f>
      </x:c>
      <x:c r="J28" s="30" t="str">
        <x:f>IFERROR(INDEX('Task Inbox'!N$6:N$505,MATCH(ROWS($A$5:A28),'Task Inbox'!$S$6:$S$505,0)),"")</x:f>
      </x:c>
      <x:c r="K28" s="31" t="str">
        <x:f>IFERROR(INDEX('Task Inbox'!O$6:O$505,MATCH(ROWS($A$5:A28),'Task Inbox'!$S$6:$S$505,0)),"")</x:f>
      </x:c>
    </x:row>
    <x:row r="29">
      <x:c r="A29" s="30" t="str">
        <x:f>IFERROR(INDEX('Task Inbox'!A$6:A$505,MATCH(ROWS($A$5:A29),'Task Inbox'!$S$6:$S$505,0)),"")</x:f>
      </x:c>
      <x:c r="B29" s="30" t="str">
        <x:f>IFERROR(INDEX('Task Inbox'!B$6:B$505,MATCH(ROWS($A$5:A29),'Task Inbox'!$S$6:$S$505,0)),"")</x:f>
      </x:c>
      <x:c r="C29" s="30" t="str">
        <x:f>IFERROR(INDEX('Task Inbox'!D$6:D$505,MATCH(ROWS($A$5:A29),'Task Inbox'!$S$6:$S$505,0)),"")</x:f>
      </x:c>
      <x:c r="D29" s="30" t="str">
        <x:f>IFERROR(INDEX('Task Inbox'!E$6:E$505,MATCH(ROWS($A$5:A29),'Task Inbox'!$S$6:$S$505,0)),"")</x:f>
      </x:c>
      <x:c r="E29" s="30" t="str">
        <x:f>IFERROR(INDEX('Task Inbox'!F$6:F$505,MATCH(ROWS($A$5:A29),'Task Inbox'!$S$6:$S$505,0)),"")</x:f>
      </x:c>
      <x:c r="F29" s="30" t="str">
        <x:f>IFERROR(INDEX('Task Inbox'!G$6:G$505,MATCH(ROWS($A$5:A29),'Task Inbox'!$S$6:$S$505,0)),"")</x:f>
      </x:c>
      <x:c r="G29" s="31" t="str">
        <x:f>IFERROR(INDEX('Task Inbox'!H$6:H$505,MATCH(ROWS($A$5:A29),'Task Inbox'!$S$6:$S$505,0)),"")</x:f>
      </x:c>
      <x:c r="H29" s="33" t="str">
        <x:f>IFERROR(INDEX('Task Inbox'!J$6:J$505,MATCH(ROWS($A$5:A29),'Task Inbox'!$S$6:$S$505,0)),"")</x:f>
      </x:c>
      <x:c r="I29" s="30" t="str">
        <x:f>IFERROR(INDEX('Task Inbox'!K$6:K$505,MATCH(ROWS($A$5:A29),'Task Inbox'!$S$6:$S$505,0)),"")</x:f>
      </x:c>
      <x:c r="J29" s="30" t="str">
        <x:f>IFERROR(INDEX('Task Inbox'!N$6:N$505,MATCH(ROWS($A$5:A29),'Task Inbox'!$S$6:$S$505,0)),"")</x:f>
      </x:c>
      <x:c r="K29" s="31" t="str">
        <x:f>IFERROR(INDEX('Task Inbox'!O$6:O$505,MATCH(ROWS($A$5:A29),'Task Inbox'!$S$6:$S$505,0)),"")</x:f>
      </x:c>
    </x:row>
    <x:row r="30">
      <x:c r="A30" s="30" t="str">
        <x:f>IFERROR(INDEX('Task Inbox'!A$6:A$505,MATCH(ROWS($A$5:A30),'Task Inbox'!$S$6:$S$505,0)),"")</x:f>
      </x:c>
      <x:c r="B30" s="30" t="str">
        <x:f>IFERROR(INDEX('Task Inbox'!B$6:B$505,MATCH(ROWS($A$5:A30),'Task Inbox'!$S$6:$S$505,0)),"")</x:f>
      </x:c>
      <x:c r="C30" s="30" t="str">
        <x:f>IFERROR(INDEX('Task Inbox'!D$6:D$505,MATCH(ROWS($A$5:A30),'Task Inbox'!$S$6:$S$505,0)),"")</x:f>
      </x:c>
      <x:c r="D30" s="30" t="str">
        <x:f>IFERROR(INDEX('Task Inbox'!E$6:E$505,MATCH(ROWS($A$5:A30),'Task Inbox'!$S$6:$S$505,0)),"")</x:f>
      </x:c>
      <x:c r="E30" s="30" t="str">
        <x:f>IFERROR(INDEX('Task Inbox'!F$6:F$505,MATCH(ROWS($A$5:A30),'Task Inbox'!$S$6:$S$505,0)),"")</x:f>
      </x:c>
      <x:c r="F30" s="30" t="str">
        <x:f>IFERROR(INDEX('Task Inbox'!G$6:G$505,MATCH(ROWS($A$5:A30),'Task Inbox'!$S$6:$S$505,0)),"")</x:f>
      </x:c>
      <x:c r="G30" s="31" t="str">
        <x:f>IFERROR(INDEX('Task Inbox'!H$6:H$505,MATCH(ROWS($A$5:A30),'Task Inbox'!$S$6:$S$505,0)),"")</x:f>
      </x:c>
      <x:c r="H30" s="33" t="str">
        <x:f>IFERROR(INDEX('Task Inbox'!J$6:J$505,MATCH(ROWS($A$5:A30),'Task Inbox'!$S$6:$S$505,0)),"")</x:f>
      </x:c>
      <x:c r="I30" s="30" t="str">
        <x:f>IFERROR(INDEX('Task Inbox'!K$6:K$505,MATCH(ROWS($A$5:A30),'Task Inbox'!$S$6:$S$505,0)),"")</x:f>
      </x:c>
      <x:c r="J30" s="30" t="str">
        <x:f>IFERROR(INDEX('Task Inbox'!N$6:N$505,MATCH(ROWS($A$5:A30),'Task Inbox'!$S$6:$S$505,0)),"")</x:f>
      </x:c>
      <x:c r="K30" s="31" t="str">
        <x:f>IFERROR(INDEX('Task Inbox'!O$6:O$505,MATCH(ROWS($A$5:A30),'Task Inbox'!$S$6:$S$505,0)),"")</x:f>
      </x:c>
    </x:row>
    <x:row r="31">
      <x:c r="A31" s="26" t="str">
        <x:f>IFERROR(INDEX('Task Inbox'!A$6:A$505,MATCH(ROWS($A$5:A31),'Task Inbox'!$S$6:$S$505,0)),"")</x:f>
      </x:c>
      <x:c r="B31" s="26" t="str">
        <x:f>IFERROR(INDEX('Task Inbox'!B$6:B$505,MATCH(ROWS($A$5:A31),'Task Inbox'!$S$6:$S$505,0)),"")</x:f>
      </x:c>
      <x:c r="C31" s="26" t="str">
        <x:f>IFERROR(INDEX('Task Inbox'!D$6:D$505,MATCH(ROWS($A$5:A31),'Task Inbox'!$S$6:$S$505,0)),"")</x:f>
      </x:c>
      <x:c r="D31" s="26" t="str">
        <x:f>IFERROR(INDEX('Task Inbox'!E$6:E$505,MATCH(ROWS($A$5:A31),'Task Inbox'!$S$6:$S$505,0)),"")</x:f>
      </x:c>
      <x:c r="E31" s="26" t="str">
        <x:f>IFERROR(INDEX('Task Inbox'!F$6:F$505,MATCH(ROWS($A$5:A31),'Task Inbox'!$S$6:$S$505,0)),"")</x:f>
      </x:c>
      <x:c r="F31" s="26" t="str">
        <x:f>IFERROR(INDEX('Task Inbox'!G$6:G$505,MATCH(ROWS($A$5:A31),'Task Inbox'!$S$6:$S$505,0)),"")</x:f>
      </x:c>
      <x:c r="G31" s="35" t="str">
        <x:f>IFERROR(INDEX('Task Inbox'!H$6:H$505,MATCH(ROWS($A$5:A31),'Task Inbox'!$S$6:$S$505,0)),"")</x:f>
      </x:c>
      <x:c r="H31" s="36" t="str">
        <x:f>IFERROR(INDEX('Task Inbox'!J$6:J$505,MATCH(ROWS($A$5:A31),'Task Inbox'!$S$6:$S$505,0)),"")</x:f>
      </x:c>
      <x:c r="I31" s="26" t="str">
        <x:f>IFERROR(INDEX('Task Inbox'!K$6:K$505,MATCH(ROWS($A$5:A31),'Task Inbox'!$S$6:$S$505,0)),"")</x:f>
      </x:c>
      <x:c r="J31" s="26" t="str">
        <x:f>IFERROR(INDEX('Task Inbox'!N$6:N$505,MATCH(ROWS($A$5:A31),'Task Inbox'!$S$6:$S$505,0)),"")</x:f>
      </x:c>
      <x:c r="K31" s="35" t="str">
        <x:f>IFERROR(INDEX('Task Inbox'!O$6:O$505,MATCH(ROWS($A$5:A31),'Task Inbox'!$S$6:$S$505,0)),"")</x:f>
      </x:c>
    </x:row>
    <x:row r="32">
      <x:c r="A32" s="26" t="str">
        <x:f>IFERROR(INDEX('Task Inbox'!A$6:A$505,MATCH(ROWS($A$5:A32),'Task Inbox'!$S$6:$S$505,0)),"")</x:f>
      </x:c>
      <x:c r="B32" s="26" t="str">
        <x:f>IFERROR(INDEX('Task Inbox'!B$6:B$505,MATCH(ROWS($A$5:A32),'Task Inbox'!$S$6:$S$505,0)),"")</x:f>
      </x:c>
      <x:c r="C32" s="26" t="str">
        <x:f>IFERROR(INDEX('Task Inbox'!D$6:D$505,MATCH(ROWS($A$5:A32),'Task Inbox'!$S$6:$S$505,0)),"")</x:f>
      </x:c>
      <x:c r="D32" s="26" t="str">
        <x:f>IFERROR(INDEX('Task Inbox'!E$6:E$505,MATCH(ROWS($A$5:A32),'Task Inbox'!$S$6:$S$505,0)),"")</x:f>
      </x:c>
      <x:c r="E32" s="26" t="str">
        <x:f>IFERROR(INDEX('Task Inbox'!F$6:F$505,MATCH(ROWS($A$5:A32),'Task Inbox'!$S$6:$S$505,0)),"")</x:f>
      </x:c>
      <x:c r="F32" s="26" t="str">
        <x:f>IFERROR(INDEX('Task Inbox'!G$6:G$505,MATCH(ROWS($A$5:A32),'Task Inbox'!$S$6:$S$505,0)),"")</x:f>
      </x:c>
      <x:c r="G32" s="35" t="str">
        <x:f>IFERROR(INDEX('Task Inbox'!H$6:H$505,MATCH(ROWS($A$5:A32),'Task Inbox'!$S$6:$S$505,0)),"")</x:f>
      </x:c>
      <x:c r="H32" s="36" t="str">
        <x:f>IFERROR(INDEX('Task Inbox'!J$6:J$505,MATCH(ROWS($A$5:A32),'Task Inbox'!$S$6:$S$505,0)),"")</x:f>
      </x:c>
      <x:c r="I32" s="26" t="str">
        <x:f>IFERROR(INDEX('Task Inbox'!K$6:K$505,MATCH(ROWS($A$5:A32),'Task Inbox'!$S$6:$S$505,0)),"")</x:f>
      </x:c>
      <x:c r="J32" s="26" t="str">
        <x:f>IFERROR(INDEX('Task Inbox'!N$6:N$505,MATCH(ROWS($A$5:A32),'Task Inbox'!$S$6:$S$505,0)),"")</x:f>
      </x:c>
      <x:c r="K32" s="35" t="str">
        <x:f>IFERROR(INDEX('Task Inbox'!O$6:O$505,MATCH(ROWS($A$5:A32),'Task Inbox'!$S$6:$S$505,0)),"")</x:f>
      </x:c>
    </x:row>
    <x:row r="33">
      <x:c r="A33" s="26" t="str">
        <x:f>IFERROR(INDEX('Task Inbox'!A$6:A$505,MATCH(ROWS($A$5:A33),'Task Inbox'!$S$6:$S$505,0)),"")</x:f>
      </x:c>
      <x:c r="B33" s="26" t="str">
        <x:f>IFERROR(INDEX('Task Inbox'!B$6:B$505,MATCH(ROWS($A$5:A33),'Task Inbox'!$S$6:$S$505,0)),"")</x:f>
      </x:c>
      <x:c r="C33" s="26" t="str">
        <x:f>IFERROR(INDEX('Task Inbox'!D$6:D$505,MATCH(ROWS($A$5:A33),'Task Inbox'!$S$6:$S$505,0)),"")</x:f>
      </x:c>
      <x:c r="D33" s="26" t="str">
        <x:f>IFERROR(INDEX('Task Inbox'!E$6:E$505,MATCH(ROWS($A$5:A33),'Task Inbox'!$S$6:$S$505,0)),"")</x:f>
      </x:c>
      <x:c r="E33" s="26" t="str">
        <x:f>IFERROR(INDEX('Task Inbox'!F$6:F$505,MATCH(ROWS($A$5:A33),'Task Inbox'!$S$6:$S$505,0)),"")</x:f>
      </x:c>
      <x:c r="F33" s="26" t="str">
        <x:f>IFERROR(INDEX('Task Inbox'!G$6:G$505,MATCH(ROWS($A$5:A33),'Task Inbox'!$S$6:$S$505,0)),"")</x:f>
      </x:c>
      <x:c r="G33" s="35" t="str">
        <x:f>IFERROR(INDEX('Task Inbox'!H$6:H$505,MATCH(ROWS($A$5:A33),'Task Inbox'!$S$6:$S$505,0)),"")</x:f>
      </x:c>
      <x:c r="H33" s="36" t="str">
        <x:f>IFERROR(INDEX('Task Inbox'!J$6:J$505,MATCH(ROWS($A$5:A33),'Task Inbox'!$S$6:$S$505,0)),"")</x:f>
      </x:c>
      <x:c r="I33" s="26" t="str">
        <x:f>IFERROR(INDEX('Task Inbox'!K$6:K$505,MATCH(ROWS($A$5:A33),'Task Inbox'!$S$6:$S$505,0)),"")</x:f>
      </x:c>
      <x:c r="J33" s="26" t="str">
        <x:f>IFERROR(INDEX('Task Inbox'!N$6:N$505,MATCH(ROWS($A$5:A33),'Task Inbox'!$S$6:$S$505,0)),"")</x:f>
      </x:c>
      <x:c r="K33" s="35" t="str">
        <x:f>IFERROR(INDEX('Task Inbox'!O$6:O$505,MATCH(ROWS($A$5:A33),'Task Inbox'!$S$6:$S$505,0)),"")</x:f>
      </x:c>
    </x:row>
    <x:row r="34">
      <x:c r="A34" s="26" t="str">
        <x:f>IFERROR(INDEX('Task Inbox'!A$6:A$505,MATCH(ROWS($A$5:A34),'Task Inbox'!$S$6:$S$505,0)),"")</x:f>
      </x:c>
      <x:c r="B34" s="26" t="str">
        <x:f>IFERROR(INDEX('Task Inbox'!B$6:B$505,MATCH(ROWS($A$5:A34),'Task Inbox'!$S$6:$S$505,0)),"")</x:f>
      </x:c>
      <x:c r="C34" s="26" t="str">
        <x:f>IFERROR(INDEX('Task Inbox'!D$6:D$505,MATCH(ROWS($A$5:A34),'Task Inbox'!$S$6:$S$505,0)),"")</x:f>
      </x:c>
      <x:c r="D34" s="26" t="str">
        <x:f>IFERROR(INDEX('Task Inbox'!E$6:E$505,MATCH(ROWS($A$5:A34),'Task Inbox'!$S$6:$S$505,0)),"")</x:f>
      </x:c>
      <x:c r="E34" s="26" t="str">
        <x:f>IFERROR(INDEX('Task Inbox'!F$6:F$505,MATCH(ROWS($A$5:A34),'Task Inbox'!$S$6:$S$505,0)),"")</x:f>
      </x:c>
      <x:c r="F34" s="26" t="str">
        <x:f>IFERROR(INDEX('Task Inbox'!G$6:G$505,MATCH(ROWS($A$5:A34),'Task Inbox'!$S$6:$S$505,0)),"")</x:f>
      </x:c>
      <x:c r="G34" s="35" t="str">
        <x:f>IFERROR(INDEX('Task Inbox'!H$6:H$505,MATCH(ROWS($A$5:A34),'Task Inbox'!$S$6:$S$505,0)),"")</x:f>
      </x:c>
      <x:c r="H34" s="36" t="str">
        <x:f>IFERROR(INDEX('Task Inbox'!J$6:J$505,MATCH(ROWS($A$5:A34),'Task Inbox'!$S$6:$S$505,0)),"")</x:f>
      </x:c>
      <x:c r="I34" s="26" t="str">
        <x:f>IFERROR(INDEX('Task Inbox'!K$6:K$505,MATCH(ROWS($A$5:A34),'Task Inbox'!$S$6:$S$505,0)),"")</x:f>
      </x:c>
      <x:c r="J34" s="26" t="str">
        <x:f>IFERROR(INDEX('Task Inbox'!N$6:N$505,MATCH(ROWS($A$5:A34),'Task Inbox'!$S$6:$S$505,0)),"")</x:f>
      </x:c>
      <x:c r="K34" s="35" t="str">
        <x:f>IFERROR(INDEX('Task Inbox'!O$6:O$505,MATCH(ROWS($A$5:A34),'Task Inbox'!$S$6:$S$505,0)),"")</x:f>
      </x:c>
    </x:row>
    <x:row r="35">
      <x:c r="A35" s="26" t="str">
        <x:f>IFERROR(INDEX('Task Inbox'!A$6:A$505,MATCH(ROWS($A$5:A35),'Task Inbox'!$S$6:$S$505,0)),"")</x:f>
      </x:c>
      <x:c r="B35" s="26" t="str">
        <x:f>IFERROR(INDEX('Task Inbox'!B$6:B$505,MATCH(ROWS($A$5:A35),'Task Inbox'!$S$6:$S$505,0)),"")</x:f>
      </x:c>
      <x:c r="C35" s="26" t="str">
        <x:f>IFERROR(INDEX('Task Inbox'!D$6:D$505,MATCH(ROWS($A$5:A35),'Task Inbox'!$S$6:$S$505,0)),"")</x:f>
      </x:c>
      <x:c r="D35" s="26" t="str">
        <x:f>IFERROR(INDEX('Task Inbox'!E$6:E$505,MATCH(ROWS($A$5:A35),'Task Inbox'!$S$6:$S$505,0)),"")</x:f>
      </x:c>
      <x:c r="E35" s="26" t="str">
        <x:f>IFERROR(INDEX('Task Inbox'!F$6:F$505,MATCH(ROWS($A$5:A35),'Task Inbox'!$S$6:$S$505,0)),"")</x:f>
      </x:c>
      <x:c r="F35" s="26" t="str">
        <x:f>IFERROR(INDEX('Task Inbox'!G$6:G$505,MATCH(ROWS($A$5:A35),'Task Inbox'!$S$6:$S$505,0)),"")</x:f>
      </x:c>
      <x:c r="G35" s="35" t="str">
        <x:f>IFERROR(INDEX('Task Inbox'!H$6:H$505,MATCH(ROWS($A$5:A35),'Task Inbox'!$S$6:$S$505,0)),"")</x:f>
      </x:c>
      <x:c r="H35" s="36" t="str">
        <x:f>IFERROR(INDEX('Task Inbox'!J$6:J$505,MATCH(ROWS($A$5:A35),'Task Inbox'!$S$6:$S$505,0)),"")</x:f>
      </x:c>
      <x:c r="I35" s="26" t="str">
        <x:f>IFERROR(INDEX('Task Inbox'!K$6:K$505,MATCH(ROWS($A$5:A35),'Task Inbox'!$S$6:$S$505,0)),"")</x:f>
      </x:c>
      <x:c r="J35" s="26" t="str">
        <x:f>IFERROR(INDEX('Task Inbox'!N$6:N$505,MATCH(ROWS($A$5:A35),'Task Inbox'!$S$6:$S$505,0)),"")</x:f>
      </x:c>
      <x:c r="K35" s="35" t="str">
        <x:f>IFERROR(INDEX('Task Inbox'!O$6:O$505,MATCH(ROWS($A$5:A35),'Task Inbox'!$S$6:$S$505,0)),"")</x:f>
      </x:c>
    </x:row>
    <x:row r="36">
      <x:c r="A36" s="26" t="str">
        <x:f>IFERROR(INDEX('Task Inbox'!A$6:A$505,MATCH(ROWS($A$5:A36),'Task Inbox'!$S$6:$S$505,0)),"")</x:f>
      </x:c>
      <x:c r="B36" s="26" t="str">
        <x:f>IFERROR(INDEX('Task Inbox'!B$6:B$505,MATCH(ROWS($A$5:A36),'Task Inbox'!$S$6:$S$505,0)),"")</x:f>
      </x:c>
      <x:c r="C36" s="26" t="str">
        <x:f>IFERROR(INDEX('Task Inbox'!D$6:D$505,MATCH(ROWS($A$5:A36),'Task Inbox'!$S$6:$S$505,0)),"")</x:f>
      </x:c>
      <x:c r="D36" s="26" t="str">
        <x:f>IFERROR(INDEX('Task Inbox'!E$6:E$505,MATCH(ROWS($A$5:A36),'Task Inbox'!$S$6:$S$505,0)),"")</x:f>
      </x:c>
      <x:c r="E36" s="26" t="str">
        <x:f>IFERROR(INDEX('Task Inbox'!F$6:F$505,MATCH(ROWS($A$5:A36),'Task Inbox'!$S$6:$S$505,0)),"")</x:f>
      </x:c>
      <x:c r="F36" s="26" t="str">
        <x:f>IFERROR(INDEX('Task Inbox'!G$6:G$505,MATCH(ROWS($A$5:A36),'Task Inbox'!$S$6:$S$505,0)),"")</x:f>
      </x:c>
      <x:c r="G36" s="35" t="str">
        <x:f>IFERROR(INDEX('Task Inbox'!H$6:H$505,MATCH(ROWS($A$5:A36),'Task Inbox'!$S$6:$S$505,0)),"")</x:f>
      </x:c>
      <x:c r="H36" s="36" t="str">
        <x:f>IFERROR(INDEX('Task Inbox'!J$6:J$505,MATCH(ROWS($A$5:A36),'Task Inbox'!$S$6:$S$505,0)),"")</x:f>
      </x:c>
      <x:c r="I36" s="26" t="str">
        <x:f>IFERROR(INDEX('Task Inbox'!K$6:K$505,MATCH(ROWS($A$5:A36),'Task Inbox'!$S$6:$S$505,0)),"")</x:f>
      </x:c>
      <x:c r="J36" s="26" t="str">
        <x:f>IFERROR(INDEX('Task Inbox'!N$6:N$505,MATCH(ROWS($A$5:A36),'Task Inbox'!$S$6:$S$505,0)),"")</x:f>
      </x:c>
      <x:c r="K36" s="35" t="str">
        <x:f>IFERROR(INDEX('Task Inbox'!O$6:O$505,MATCH(ROWS($A$5:A36),'Task Inbox'!$S$6:$S$505,0)),"")</x:f>
      </x:c>
    </x:row>
    <x:row r="37">
      <x:c r="A37" s="26" t="str">
        <x:f>IFERROR(INDEX('Task Inbox'!A$6:A$505,MATCH(ROWS($A$5:A37),'Task Inbox'!$S$6:$S$505,0)),"")</x:f>
      </x:c>
      <x:c r="B37" s="26" t="str">
        <x:f>IFERROR(INDEX('Task Inbox'!B$6:B$505,MATCH(ROWS($A$5:A37),'Task Inbox'!$S$6:$S$505,0)),"")</x:f>
      </x:c>
      <x:c r="C37" s="26" t="str">
        <x:f>IFERROR(INDEX('Task Inbox'!D$6:D$505,MATCH(ROWS($A$5:A37),'Task Inbox'!$S$6:$S$505,0)),"")</x:f>
      </x:c>
      <x:c r="D37" s="26" t="str">
        <x:f>IFERROR(INDEX('Task Inbox'!E$6:E$505,MATCH(ROWS($A$5:A37),'Task Inbox'!$S$6:$S$505,0)),"")</x:f>
      </x:c>
      <x:c r="E37" s="26" t="str">
        <x:f>IFERROR(INDEX('Task Inbox'!F$6:F$505,MATCH(ROWS($A$5:A37),'Task Inbox'!$S$6:$S$505,0)),"")</x:f>
      </x:c>
      <x:c r="F37" s="26" t="str">
        <x:f>IFERROR(INDEX('Task Inbox'!G$6:G$505,MATCH(ROWS($A$5:A37),'Task Inbox'!$S$6:$S$505,0)),"")</x:f>
      </x:c>
      <x:c r="G37" s="35" t="str">
        <x:f>IFERROR(INDEX('Task Inbox'!H$6:H$505,MATCH(ROWS($A$5:A37),'Task Inbox'!$S$6:$S$505,0)),"")</x:f>
      </x:c>
      <x:c r="H37" s="36" t="str">
        <x:f>IFERROR(INDEX('Task Inbox'!J$6:J$505,MATCH(ROWS($A$5:A37),'Task Inbox'!$S$6:$S$505,0)),"")</x:f>
      </x:c>
      <x:c r="I37" s="26" t="str">
        <x:f>IFERROR(INDEX('Task Inbox'!K$6:K$505,MATCH(ROWS($A$5:A37),'Task Inbox'!$S$6:$S$505,0)),"")</x:f>
      </x:c>
      <x:c r="J37" s="26" t="str">
        <x:f>IFERROR(INDEX('Task Inbox'!N$6:N$505,MATCH(ROWS($A$5:A37),'Task Inbox'!$S$6:$S$505,0)),"")</x:f>
      </x:c>
      <x:c r="K37" s="35" t="str">
        <x:f>IFERROR(INDEX('Task Inbox'!O$6:O$505,MATCH(ROWS($A$5:A37),'Task Inbox'!$S$6:$S$505,0)),"")</x:f>
      </x:c>
    </x:row>
    <x:row r="38">
      <x:c r="A38" s="26" t="str">
        <x:f>IFERROR(INDEX('Task Inbox'!A$6:A$505,MATCH(ROWS($A$5:A38),'Task Inbox'!$S$6:$S$505,0)),"")</x:f>
      </x:c>
      <x:c r="B38" s="26" t="str">
        <x:f>IFERROR(INDEX('Task Inbox'!B$6:B$505,MATCH(ROWS($A$5:A38),'Task Inbox'!$S$6:$S$505,0)),"")</x:f>
      </x:c>
      <x:c r="C38" s="26" t="str">
        <x:f>IFERROR(INDEX('Task Inbox'!D$6:D$505,MATCH(ROWS($A$5:A38),'Task Inbox'!$S$6:$S$505,0)),"")</x:f>
      </x:c>
      <x:c r="D38" s="26" t="str">
        <x:f>IFERROR(INDEX('Task Inbox'!E$6:E$505,MATCH(ROWS($A$5:A38),'Task Inbox'!$S$6:$S$505,0)),"")</x:f>
      </x:c>
      <x:c r="E38" s="26" t="str">
        <x:f>IFERROR(INDEX('Task Inbox'!F$6:F$505,MATCH(ROWS($A$5:A38),'Task Inbox'!$S$6:$S$505,0)),"")</x:f>
      </x:c>
      <x:c r="F38" s="26" t="str">
        <x:f>IFERROR(INDEX('Task Inbox'!G$6:G$505,MATCH(ROWS($A$5:A38),'Task Inbox'!$S$6:$S$505,0)),"")</x:f>
      </x:c>
      <x:c r="G38" s="35" t="str">
        <x:f>IFERROR(INDEX('Task Inbox'!H$6:H$505,MATCH(ROWS($A$5:A38),'Task Inbox'!$S$6:$S$505,0)),"")</x:f>
      </x:c>
      <x:c r="H38" s="36" t="str">
        <x:f>IFERROR(INDEX('Task Inbox'!J$6:J$505,MATCH(ROWS($A$5:A38),'Task Inbox'!$S$6:$S$505,0)),"")</x:f>
      </x:c>
      <x:c r="I38" s="26" t="str">
        <x:f>IFERROR(INDEX('Task Inbox'!K$6:K$505,MATCH(ROWS($A$5:A38),'Task Inbox'!$S$6:$S$505,0)),"")</x:f>
      </x:c>
      <x:c r="J38" s="26" t="str">
        <x:f>IFERROR(INDEX('Task Inbox'!N$6:N$505,MATCH(ROWS($A$5:A38),'Task Inbox'!$S$6:$S$505,0)),"")</x:f>
      </x:c>
      <x:c r="K38" s="35" t="str">
        <x:f>IFERROR(INDEX('Task Inbox'!O$6:O$505,MATCH(ROWS($A$5:A38),'Task Inbox'!$S$6:$S$505,0)),"")</x:f>
      </x:c>
    </x:row>
    <x:row r="39">
      <x:c r="A39" s="26" t="str">
        <x:f>IFERROR(INDEX('Task Inbox'!A$6:A$505,MATCH(ROWS($A$5:A39),'Task Inbox'!$S$6:$S$505,0)),"")</x:f>
      </x:c>
      <x:c r="B39" s="26" t="str">
        <x:f>IFERROR(INDEX('Task Inbox'!B$6:B$505,MATCH(ROWS($A$5:A39),'Task Inbox'!$S$6:$S$505,0)),"")</x:f>
      </x:c>
      <x:c r="C39" s="26" t="str">
        <x:f>IFERROR(INDEX('Task Inbox'!D$6:D$505,MATCH(ROWS($A$5:A39),'Task Inbox'!$S$6:$S$505,0)),"")</x:f>
      </x:c>
      <x:c r="D39" s="26" t="str">
        <x:f>IFERROR(INDEX('Task Inbox'!E$6:E$505,MATCH(ROWS($A$5:A39),'Task Inbox'!$S$6:$S$505,0)),"")</x:f>
      </x:c>
      <x:c r="E39" s="26" t="str">
        <x:f>IFERROR(INDEX('Task Inbox'!F$6:F$505,MATCH(ROWS($A$5:A39),'Task Inbox'!$S$6:$S$505,0)),"")</x:f>
      </x:c>
      <x:c r="F39" s="26" t="str">
        <x:f>IFERROR(INDEX('Task Inbox'!G$6:G$505,MATCH(ROWS($A$5:A39),'Task Inbox'!$S$6:$S$505,0)),"")</x:f>
      </x:c>
      <x:c r="G39" s="35" t="str">
        <x:f>IFERROR(INDEX('Task Inbox'!H$6:H$505,MATCH(ROWS($A$5:A39),'Task Inbox'!$S$6:$S$505,0)),"")</x:f>
      </x:c>
      <x:c r="H39" s="36" t="str">
        <x:f>IFERROR(INDEX('Task Inbox'!J$6:J$505,MATCH(ROWS($A$5:A39),'Task Inbox'!$S$6:$S$505,0)),"")</x:f>
      </x:c>
      <x:c r="I39" s="26" t="str">
        <x:f>IFERROR(INDEX('Task Inbox'!K$6:K$505,MATCH(ROWS($A$5:A39),'Task Inbox'!$S$6:$S$505,0)),"")</x:f>
      </x:c>
      <x:c r="J39" s="26" t="str">
        <x:f>IFERROR(INDEX('Task Inbox'!N$6:N$505,MATCH(ROWS($A$5:A39),'Task Inbox'!$S$6:$S$505,0)),"")</x:f>
      </x:c>
      <x:c r="K39" s="35" t="str">
        <x:f>IFERROR(INDEX('Task Inbox'!O$6:O$505,MATCH(ROWS($A$5:A39),'Task Inbox'!$S$6:$S$505,0)),"")</x:f>
      </x:c>
    </x:row>
    <x:row r="40">
      <x:c r="A40" s="26" t="str">
        <x:f>IFERROR(INDEX('Task Inbox'!A$6:A$505,MATCH(ROWS($A$5:A40),'Task Inbox'!$S$6:$S$505,0)),"")</x:f>
      </x:c>
      <x:c r="B40" s="26" t="str">
        <x:f>IFERROR(INDEX('Task Inbox'!B$6:B$505,MATCH(ROWS($A$5:A40),'Task Inbox'!$S$6:$S$505,0)),"")</x:f>
      </x:c>
      <x:c r="C40" s="26" t="str">
        <x:f>IFERROR(INDEX('Task Inbox'!D$6:D$505,MATCH(ROWS($A$5:A40),'Task Inbox'!$S$6:$S$505,0)),"")</x:f>
      </x:c>
      <x:c r="D40" s="26" t="str">
        <x:f>IFERROR(INDEX('Task Inbox'!E$6:E$505,MATCH(ROWS($A$5:A40),'Task Inbox'!$S$6:$S$505,0)),"")</x:f>
      </x:c>
      <x:c r="E40" s="26" t="str">
        <x:f>IFERROR(INDEX('Task Inbox'!F$6:F$505,MATCH(ROWS($A$5:A40),'Task Inbox'!$S$6:$S$505,0)),"")</x:f>
      </x:c>
      <x:c r="F40" s="26" t="str">
        <x:f>IFERROR(INDEX('Task Inbox'!G$6:G$505,MATCH(ROWS($A$5:A40),'Task Inbox'!$S$6:$S$505,0)),"")</x:f>
      </x:c>
      <x:c r="G40" s="35" t="str">
        <x:f>IFERROR(INDEX('Task Inbox'!H$6:H$505,MATCH(ROWS($A$5:A40),'Task Inbox'!$S$6:$S$505,0)),"")</x:f>
      </x:c>
      <x:c r="H40" s="36" t="str">
        <x:f>IFERROR(INDEX('Task Inbox'!J$6:J$505,MATCH(ROWS($A$5:A40),'Task Inbox'!$S$6:$S$505,0)),"")</x:f>
      </x:c>
      <x:c r="I40" s="26" t="str">
        <x:f>IFERROR(INDEX('Task Inbox'!K$6:K$505,MATCH(ROWS($A$5:A40),'Task Inbox'!$S$6:$S$505,0)),"")</x:f>
      </x:c>
      <x:c r="J40" s="26" t="str">
        <x:f>IFERROR(INDEX('Task Inbox'!N$6:N$505,MATCH(ROWS($A$5:A40),'Task Inbox'!$S$6:$S$505,0)),"")</x:f>
      </x:c>
      <x:c r="K40" s="35" t="str">
        <x:f>IFERROR(INDEX('Task Inbox'!O$6:O$505,MATCH(ROWS($A$5:A40),'Task Inbox'!$S$6:$S$505,0)),"")</x:f>
      </x:c>
    </x:row>
    <x:row r="41">
      <x:c r="A41" s="26" t="str">
        <x:f>IFERROR(INDEX('Task Inbox'!A$6:A$505,MATCH(ROWS($A$5:A41),'Task Inbox'!$S$6:$S$505,0)),"")</x:f>
      </x:c>
      <x:c r="B41" s="26" t="str">
        <x:f>IFERROR(INDEX('Task Inbox'!B$6:B$505,MATCH(ROWS($A$5:A41),'Task Inbox'!$S$6:$S$505,0)),"")</x:f>
      </x:c>
      <x:c r="C41" s="26" t="str">
        <x:f>IFERROR(INDEX('Task Inbox'!D$6:D$505,MATCH(ROWS($A$5:A41),'Task Inbox'!$S$6:$S$505,0)),"")</x:f>
      </x:c>
      <x:c r="D41" s="26" t="str">
        <x:f>IFERROR(INDEX('Task Inbox'!E$6:E$505,MATCH(ROWS($A$5:A41),'Task Inbox'!$S$6:$S$505,0)),"")</x:f>
      </x:c>
      <x:c r="E41" s="26" t="str">
        <x:f>IFERROR(INDEX('Task Inbox'!F$6:F$505,MATCH(ROWS($A$5:A41),'Task Inbox'!$S$6:$S$505,0)),"")</x:f>
      </x:c>
      <x:c r="F41" s="26" t="str">
        <x:f>IFERROR(INDEX('Task Inbox'!G$6:G$505,MATCH(ROWS($A$5:A41),'Task Inbox'!$S$6:$S$505,0)),"")</x:f>
      </x:c>
      <x:c r="G41" s="35" t="str">
        <x:f>IFERROR(INDEX('Task Inbox'!H$6:H$505,MATCH(ROWS($A$5:A41),'Task Inbox'!$S$6:$S$505,0)),"")</x:f>
      </x:c>
      <x:c r="H41" s="36" t="str">
        <x:f>IFERROR(INDEX('Task Inbox'!J$6:J$505,MATCH(ROWS($A$5:A41),'Task Inbox'!$S$6:$S$505,0)),"")</x:f>
      </x:c>
      <x:c r="I41" s="26" t="str">
        <x:f>IFERROR(INDEX('Task Inbox'!K$6:K$505,MATCH(ROWS($A$5:A41),'Task Inbox'!$S$6:$S$505,0)),"")</x:f>
      </x:c>
      <x:c r="J41" s="26" t="str">
        <x:f>IFERROR(INDEX('Task Inbox'!N$6:N$505,MATCH(ROWS($A$5:A41),'Task Inbox'!$S$6:$S$505,0)),"")</x:f>
      </x:c>
      <x:c r="K41" s="35" t="str">
        <x:f>IFERROR(INDEX('Task Inbox'!O$6:O$505,MATCH(ROWS($A$5:A41),'Task Inbox'!$S$6:$S$505,0)),"")</x:f>
      </x:c>
    </x:row>
    <x:row r="42">
      <x:c r="A42" s="26" t="str">
        <x:f>IFERROR(INDEX('Task Inbox'!A$6:A$505,MATCH(ROWS($A$5:A42),'Task Inbox'!$S$6:$S$505,0)),"")</x:f>
      </x:c>
      <x:c r="B42" s="26" t="str">
        <x:f>IFERROR(INDEX('Task Inbox'!B$6:B$505,MATCH(ROWS($A$5:A42),'Task Inbox'!$S$6:$S$505,0)),"")</x:f>
      </x:c>
      <x:c r="C42" s="26" t="str">
        <x:f>IFERROR(INDEX('Task Inbox'!D$6:D$505,MATCH(ROWS($A$5:A42),'Task Inbox'!$S$6:$S$505,0)),"")</x:f>
      </x:c>
      <x:c r="D42" s="26" t="str">
        <x:f>IFERROR(INDEX('Task Inbox'!E$6:E$505,MATCH(ROWS($A$5:A42),'Task Inbox'!$S$6:$S$505,0)),"")</x:f>
      </x:c>
      <x:c r="E42" s="26" t="str">
        <x:f>IFERROR(INDEX('Task Inbox'!F$6:F$505,MATCH(ROWS($A$5:A42),'Task Inbox'!$S$6:$S$505,0)),"")</x:f>
      </x:c>
      <x:c r="F42" s="26" t="str">
        <x:f>IFERROR(INDEX('Task Inbox'!G$6:G$505,MATCH(ROWS($A$5:A42),'Task Inbox'!$S$6:$S$505,0)),"")</x:f>
      </x:c>
      <x:c r="G42" s="35" t="str">
        <x:f>IFERROR(INDEX('Task Inbox'!H$6:H$505,MATCH(ROWS($A$5:A42),'Task Inbox'!$S$6:$S$505,0)),"")</x:f>
      </x:c>
      <x:c r="H42" s="36" t="str">
        <x:f>IFERROR(INDEX('Task Inbox'!J$6:J$505,MATCH(ROWS($A$5:A42),'Task Inbox'!$S$6:$S$505,0)),"")</x:f>
      </x:c>
      <x:c r="I42" s="26" t="str">
        <x:f>IFERROR(INDEX('Task Inbox'!K$6:K$505,MATCH(ROWS($A$5:A42),'Task Inbox'!$S$6:$S$505,0)),"")</x:f>
      </x:c>
      <x:c r="J42" s="26" t="str">
        <x:f>IFERROR(INDEX('Task Inbox'!N$6:N$505,MATCH(ROWS($A$5:A42),'Task Inbox'!$S$6:$S$505,0)),"")</x:f>
      </x:c>
      <x:c r="K42" s="35" t="str">
        <x:f>IFERROR(INDEX('Task Inbox'!O$6:O$505,MATCH(ROWS($A$5:A42),'Task Inbox'!$S$6:$S$505,0)),"")</x:f>
      </x:c>
    </x:row>
    <x:row r="43">
      <x:c r="A43" s="26" t="str">
        <x:f>IFERROR(INDEX('Task Inbox'!A$6:A$505,MATCH(ROWS($A$5:A43),'Task Inbox'!$S$6:$S$505,0)),"")</x:f>
      </x:c>
      <x:c r="B43" s="26" t="str">
        <x:f>IFERROR(INDEX('Task Inbox'!B$6:B$505,MATCH(ROWS($A$5:A43),'Task Inbox'!$S$6:$S$505,0)),"")</x:f>
      </x:c>
      <x:c r="C43" s="26" t="str">
        <x:f>IFERROR(INDEX('Task Inbox'!D$6:D$505,MATCH(ROWS($A$5:A43),'Task Inbox'!$S$6:$S$505,0)),"")</x:f>
      </x:c>
      <x:c r="D43" s="26" t="str">
        <x:f>IFERROR(INDEX('Task Inbox'!E$6:E$505,MATCH(ROWS($A$5:A43),'Task Inbox'!$S$6:$S$505,0)),"")</x:f>
      </x:c>
      <x:c r="E43" s="26" t="str">
        <x:f>IFERROR(INDEX('Task Inbox'!F$6:F$505,MATCH(ROWS($A$5:A43),'Task Inbox'!$S$6:$S$505,0)),"")</x:f>
      </x:c>
      <x:c r="F43" s="26" t="str">
        <x:f>IFERROR(INDEX('Task Inbox'!G$6:G$505,MATCH(ROWS($A$5:A43),'Task Inbox'!$S$6:$S$505,0)),"")</x:f>
      </x:c>
      <x:c r="G43" s="35" t="str">
        <x:f>IFERROR(INDEX('Task Inbox'!H$6:H$505,MATCH(ROWS($A$5:A43),'Task Inbox'!$S$6:$S$505,0)),"")</x:f>
      </x:c>
      <x:c r="H43" s="36" t="str">
        <x:f>IFERROR(INDEX('Task Inbox'!J$6:J$505,MATCH(ROWS($A$5:A43),'Task Inbox'!$S$6:$S$505,0)),"")</x:f>
      </x:c>
      <x:c r="I43" s="26" t="str">
        <x:f>IFERROR(INDEX('Task Inbox'!K$6:K$505,MATCH(ROWS($A$5:A43),'Task Inbox'!$S$6:$S$505,0)),"")</x:f>
      </x:c>
      <x:c r="J43" s="26" t="str">
        <x:f>IFERROR(INDEX('Task Inbox'!N$6:N$505,MATCH(ROWS($A$5:A43),'Task Inbox'!$S$6:$S$505,0)),"")</x:f>
      </x:c>
      <x:c r="K43" s="35" t="str">
        <x:f>IFERROR(INDEX('Task Inbox'!O$6:O$505,MATCH(ROWS($A$5:A43),'Task Inbox'!$S$6:$S$505,0)),"")</x:f>
      </x:c>
    </x:row>
    <x:row r="44">
      <x:c r="A44" s="26" t="str">
        <x:f>IFERROR(INDEX('Task Inbox'!A$6:A$505,MATCH(ROWS($A$5:A44),'Task Inbox'!$S$6:$S$505,0)),"")</x:f>
      </x:c>
      <x:c r="B44" s="26" t="str">
        <x:f>IFERROR(INDEX('Task Inbox'!B$6:B$505,MATCH(ROWS($A$5:A44),'Task Inbox'!$S$6:$S$505,0)),"")</x:f>
      </x:c>
      <x:c r="C44" s="26" t="str">
        <x:f>IFERROR(INDEX('Task Inbox'!D$6:D$505,MATCH(ROWS($A$5:A44),'Task Inbox'!$S$6:$S$505,0)),"")</x:f>
      </x:c>
      <x:c r="D44" s="26" t="str">
        <x:f>IFERROR(INDEX('Task Inbox'!E$6:E$505,MATCH(ROWS($A$5:A44),'Task Inbox'!$S$6:$S$505,0)),"")</x:f>
      </x:c>
      <x:c r="E44" s="26" t="str">
        <x:f>IFERROR(INDEX('Task Inbox'!F$6:F$505,MATCH(ROWS($A$5:A44),'Task Inbox'!$S$6:$S$505,0)),"")</x:f>
      </x:c>
      <x:c r="F44" s="26" t="str">
        <x:f>IFERROR(INDEX('Task Inbox'!G$6:G$505,MATCH(ROWS($A$5:A44),'Task Inbox'!$S$6:$S$505,0)),"")</x:f>
      </x:c>
      <x:c r="G44" s="35" t="str">
        <x:f>IFERROR(INDEX('Task Inbox'!H$6:H$505,MATCH(ROWS($A$5:A44),'Task Inbox'!$S$6:$S$505,0)),"")</x:f>
      </x:c>
      <x:c r="H44" s="36" t="str">
        <x:f>IFERROR(INDEX('Task Inbox'!J$6:J$505,MATCH(ROWS($A$5:A44),'Task Inbox'!$S$6:$S$505,0)),"")</x:f>
      </x:c>
      <x:c r="I44" s="26" t="str">
        <x:f>IFERROR(INDEX('Task Inbox'!K$6:K$505,MATCH(ROWS($A$5:A44),'Task Inbox'!$S$6:$S$505,0)),"")</x:f>
      </x:c>
      <x:c r="J44" s="26" t="str">
        <x:f>IFERROR(INDEX('Task Inbox'!N$6:N$505,MATCH(ROWS($A$5:A44),'Task Inbox'!$S$6:$S$505,0)),"")</x:f>
      </x:c>
      <x:c r="K44" s="35" t="str">
        <x:f>IFERROR(INDEX('Task Inbox'!O$6:O$505,MATCH(ROWS($A$5:A44),'Task Inbox'!$S$6:$S$505,0)),"")</x:f>
      </x:c>
    </x:row>
    <x:row r="45">
      <x:c r="A45" s="26" t="str">
        <x:f>IFERROR(INDEX('Task Inbox'!A$6:A$505,MATCH(ROWS($A$5:A45),'Task Inbox'!$S$6:$S$505,0)),"")</x:f>
      </x:c>
      <x:c r="B45" s="26" t="str">
        <x:f>IFERROR(INDEX('Task Inbox'!B$6:B$505,MATCH(ROWS($A$5:A45),'Task Inbox'!$S$6:$S$505,0)),"")</x:f>
      </x:c>
      <x:c r="C45" s="26" t="str">
        <x:f>IFERROR(INDEX('Task Inbox'!D$6:D$505,MATCH(ROWS($A$5:A45),'Task Inbox'!$S$6:$S$505,0)),"")</x:f>
      </x:c>
      <x:c r="D45" s="26" t="str">
        <x:f>IFERROR(INDEX('Task Inbox'!E$6:E$505,MATCH(ROWS($A$5:A45),'Task Inbox'!$S$6:$S$505,0)),"")</x:f>
      </x:c>
      <x:c r="E45" s="26" t="str">
        <x:f>IFERROR(INDEX('Task Inbox'!F$6:F$505,MATCH(ROWS($A$5:A45),'Task Inbox'!$S$6:$S$505,0)),"")</x:f>
      </x:c>
      <x:c r="F45" s="26" t="str">
        <x:f>IFERROR(INDEX('Task Inbox'!G$6:G$505,MATCH(ROWS($A$5:A45),'Task Inbox'!$S$6:$S$505,0)),"")</x:f>
      </x:c>
      <x:c r="G45" s="35" t="str">
        <x:f>IFERROR(INDEX('Task Inbox'!H$6:H$505,MATCH(ROWS($A$5:A45),'Task Inbox'!$S$6:$S$505,0)),"")</x:f>
      </x:c>
      <x:c r="H45" s="36" t="str">
        <x:f>IFERROR(INDEX('Task Inbox'!J$6:J$505,MATCH(ROWS($A$5:A45),'Task Inbox'!$S$6:$S$505,0)),"")</x:f>
      </x:c>
      <x:c r="I45" s="26" t="str">
        <x:f>IFERROR(INDEX('Task Inbox'!K$6:K$505,MATCH(ROWS($A$5:A45),'Task Inbox'!$S$6:$S$505,0)),"")</x:f>
      </x:c>
      <x:c r="J45" s="26" t="str">
        <x:f>IFERROR(INDEX('Task Inbox'!N$6:N$505,MATCH(ROWS($A$5:A45),'Task Inbox'!$S$6:$S$505,0)),"")</x:f>
      </x:c>
      <x:c r="K45" s="35" t="str">
        <x:f>IFERROR(INDEX('Task Inbox'!O$6:O$505,MATCH(ROWS($A$5:A45),'Task Inbox'!$S$6:$S$505,0)),"")</x:f>
      </x:c>
    </x:row>
    <x:row r="46">
      <x:c r="A46" s="26" t="str">
        <x:f>IFERROR(INDEX('Task Inbox'!A$6:A$505,MATCH(ROWS($A$5:A46),'Task Inbox'!$S$6:$S$505,0)),"")</x:f>
      </x:c>
      <x:c r="B46" s="26" t="str">
        <x:f>IFERROR(INDEX('Task Inbox'!B$6:B$505,MATCH(ROWS($A$5:A46),'Task Inbox'!$S$6:$S$505,0)),"")</x:f>
      </x:c>
      <x:c r="C46" s="26" t="str">
        <x:f>IFERROR(INDEX('Task Inbox'!D$6:D$505,MATCH(ROWS($A$5:A46),'Task Inbox'!$S$6:$S$505,0)),"")</x:f>
      </x:c>
      <x:c r="D46" s="26" t="str">
        <x:f>IFERROR(INDEX('Task Inbox'!E$6:E$505,MATCH(ROWS($A$5:A46),'Task Inbox'!$S$6:$S$505,0)),"")</x:f>
      </x:c>
      <x:c r="E46" s="26" t="str">
        <x:f>IFERROR(INDEX('Task Inbox'!F$6:F$505,MATCH(ROWS($A$5:A46),'Task Inbox'!$S$6:$S$505,0)),"")</x:f>
      </x:c>
      <x:c r="F46" s="26" t="str">
        <x:f>IFERROR(INDEX('Task Inbox'!G$6:G$505,MATCH(ROWS($A$5:A46),'Task Inbox'!$S$6:$S$505,0)),"")</x:f>
      </x:c>
      <x:c r="G46" s="35" t="str">
        <x:f>IFERROR(INDEX('Task Inbox'!H$6:H$505,MATCH(ROWS($A$5:A46),'Task Inbox'!$S$6:$S$505,0)),"")</x:f>
      </x:c>
      <x:c r="H46" s="36" t="str">
        <x:f>IFERROR(INDEX('Task Inbox'!J$6:J$505,MATCH(ROWS($A$5:A46),'Task Inbox'!$S$6:$S$505,0)),"")</x:f>
      </x:c>
      <x:c r="I46" s="26" t="str">
        <x:f>IFERROR(INDEX('Task Inbox'!K$6:K$505,MATCH(ROWS($A$5:A46),'Task Inbox'!$S$6:$S$505,0)),"")</x:f>
      </x:c>
      <x:c r="J46" s="26" t="str">
        <x:f>IFERROR(INDEX('Task Inbox'!N$6:N$505,MATCH(ROWS($A$5:A46),'Task Inbox'!$S$6:$S$505,0)),"")</x:f>
      </x:c>
      <x:c r="K46" s="35" t="str">
        <x:f>IFERROR(INDEX('Task Inbox'!O$6:O$505,MATCH(ROWS($A$5:A46),'Task Inbox'!$S$6:$S$505,0)),"")</x:f>
      </x:c>
    </x:row>
    <x:row r="47">
      <x:c r="A47" s="26" t="str">
        <x:f>IFERROR(INDEX('Task Inbox'!A$6:A$505,MATCH(ROWS($A$5:A47),'Task Inbox'!$S$6:$S$505,0)),"")</x:f>
      </x:c>
      <x:c r="B47" s="26" t="str">
        <x:f>IFERROR(INDEX('Task Inbox'!B$6:B$505,MATCH(ROWS($A$5:A47),'Task Inbox'!$S$6:$S$505,0)),"")</x:f>
      </x:c>
      <x:c r="C47" s="26" t="str">
        <x:f>IFERROR(INDEX('Task Inbox'!D$6:D$505,MATCH(ROWS($A$5:A47),'Task Inbox'!$S$6:$S$505,0)),"")</x:f>
      </x:c>
      <x:c r="D47" s="26" t="str">
        <x:f>IFERROR(INDEX('Task Inbox'!E$6:E$505,MATCH(ROWS($A$5:A47),'Task Inbox'!$S$6:$S$505,0)),"")</x:f>
      </x:c>
      <x:c r="E47" s="26" t="str">
        <x:f>IFERROR(INDEX('Task Inbox'!F$6:F$505,MATCH(ROWS($A$5:A47),'Task Inbox'!$S$6:$S$505,0)),"")</x:f>
      </x:c>
      <x:c r="F47" s="26" t="str">
        <x:f>IFERROR(INDEX('Task Inbox'!G$6:G$505,MATCH(ROWS($A$5:A47),'Task Inbox'!$S$6:$S$505,0)),"")</x:f>
      </x:c>
      <x:c r="G47" s="35" t="str">
        <x:f>IFERROR(INDEX('Task Inbox'!H$6:H$505,MATCH(ROWS($A$5:A47),'Task Inbox'!$S$6:$S$505,0)),"")</x:f>
      </x:c>
      <x:c r="H47" s="36" t="str">
        <x:f>IFERROR(INDEX('Task Inbox'!J$6:J$505,MATCH(ROWS($A$5:A47),'Task Inbox'!$S$6:$S$505,0)),"")</x:f>
      </x:c>
      <x:c r="I47" s="26" t="str">
        <x:f>IFERROR(INDEX('Task Inbox'!K$6:K$505,MATCH(ROWS($A$5:A47),'Task Inbox'!$S$6:$S$505,0)),"")</x:f>
      </x:c>
      <x:c r="J47" s="26" t="str">
        <x:f>IFERROR(INDEX('Task Inbox'!N$6:N$505,MATCH(ROWS($A$5:A47),'Task Inbox'!$S$6:$S$505,0)),"")</x:f>
      </x:c>
      <x:c r="K47" s="35" t="str">
        <x:f>IFERROR(INDEX('Task Inbox'!O$6:O$505,MATCH(ROWS($A$5:A47),'Task Inbox'!$S$6:$S$505,0)),"")</x:f>
      </x:c>
    </x:row>
    <x:row r="48">
      <x:c r="A48" s="26" t="str">
        <x:f>IFERROR(INDEX('Task Inbox'!A$6:A$505,MATCH(ROWS($A$5:A48),'Task Inbox'!$S$6:$S$505,0)),"")</x:f>
      </x:c>
      <x:c r="B48" s="26" t="str">
        <x:f>IFERROR(INDEX('Task Inbox'!B$6:B$505,MATCH(ROWS($A$5:A48),'Task Inbox'!$S$6:$S$505,0)),"")</x:f>
      </x:c>
      <x:c r="C48" s="26" t="str">
        <x:f>IFERROR(INDEX('Task Inbox'!D$6:D$505,MATCH(ROWS($A$5:A48),'Task Inbox'!$S$6:$S$505,0)),"")</x:f>
      </x:c>
      <x:c r="D48" s="26" t="str">
        <x:f>IFERROR(INDEX('Task Inbox'!E$6:E$505,MATCH(ROWS($A$5:A48),'Task Inbox'!$S$6:$S$505,0)),"")</x:f>
      </x:c>
      <x:c r="E48" s="26" t="str">
        <x:f>IFERROR(INDEX('Task Inbox'!F$6:F$505,MATCH(ROWS($A$5:A48),'Task Inbox'!$S$6:$S$505,0)),"")</x:f>
      </x:c>
      <x:c r="F48" s="26" t="str">
        <x:f>IFERROR(INDEX('Task Inbox'!G$6:G$505,MATCH(ROWS($A$5:A48),'Task Inbox'!$S$6:$S$505,0)),"")</x:f>
      </x:c>
      <x:c r="G48" s="35" t="str">
        <x:f>IFERROR(INDEX('Task Inbox'!H$6:H$505,MATCH(ROWS($A$5:A48),'Task Inbox'!$S$6:$S$505,0)),"")</x:f>
      </x:c>
      <x:c r="H48" s="36" t="str">
        <x:f>IFERROR(INDEX('Task Inbox'!J$6:J$505,MATCH(ROWS($A$5:A48),'Task Inbox'!$S$6:$S$505,0)),"")</x:f>
      </x:c>
      <x:c r="I48" s="26" t="str">
        <x:f>IFERROR(INDEX('Task Inbox'!K$6:K$505,MATCH(ROWS($A$5:A48),'Task Inbox'!$S$6:$S$505,0)),"")</x:f>
      </x:c>
      <x:c r="J48" s="26" t="str">
        <x:f>IFERROR(INDEX('Task Inbox'!N$6:N$505,MATCH(ROWS($A$5:A48),'Task Inbox'!$S$6:$S$505,0)),"")</x:f>
      </x:c>
      <x:c r="K48" s="35" t="str">
        <x:f>IFERROR(INDEX('Task Inbox'!O$6:O$505,MATCH(ROWS($A$5:A48),'Task Inbox'!$S$6:$S$505,0)),"")</x:f>
      </x:c>
    </x:row>
    <x:row r="49">
      <x:c r="A49" s="26" t="str">
        <x:f>IFERROR(INDEX('Task Inbox'!A$6:A$505,MATCH(ROWS($A$5:A49),'Task Inbox'!$S$6:$S$505,0)),"")</x:f>
      </x:c>
      <x:c r="B49" s="26" t="str">
        <x:f>IFERROR(INDEX('Task Inbox'!B$6:B$505,MATCH(ROWS($A$5:A49),'Task Inbox'!$S$6:$S$505,0)),"")</x:f>
      </x:c>
      <x:c r="C49" s="26" t="str">
        <x:f>IFERROR(INDEX('Task Inbox'!D$6:D$505,MATCH(ROWS($A$5:A49),'Task Inbox'!$S$6:$S$505,0)),"")</x:f>
      </x:c>
      <x:c r="D49" s="26" t="str">
        <x:f>IFERROR(INDEX('Task Inbox'!E$6:E$505,MATCH(ROWS($A$5:A49),'Task Inbox'!$S$6:$S$505,0)),"")</x:f>
      </x:c>
      <x:c r="E49" s="26" t="str">
        <x:f>IFERROR(INDEX('Task Inbox'!F$6:F$505,MATCH(ROWS($A$5:A49),'Task Inbox'!$S$6:$S$505,0)),"")</x:f>
      </x:c>
      <x:c r="F49" s="26" t="str">
        <x:f>IFERROR(INDEX('Task Inbox'!G$6:G$505,MATCH(ROWS($A$5:A49),'Task Inbox'!$S$6:$S$505,0)),"")</x:f>
      </x:c>
      <x:c r="G49" s="35" t="str">
        <x:f>IFERROR(INDEX('Task Inbox'!H$6:H$505,MATCH(ROWS($A$5:A49),'Task Inbox'!$S$6:$S$505,0)),"")</x:f>
      </x:c>
      <x:c r="H49" s="36" t="str">
        <x:f>IFERROR(INDEX('Task Inbox'!J$6:J$505,MATCH(ROWS($A$5:A49),'Task Inbox'!$S$6:$S$505,0)),"")</x:f>
      </x:c>
      <x:c r="I49" s="26" t="str">
        <x:f>IFERROR(INDEX('Task Inbox'!K$6:K$505,MATCH(ROWS($A$5:A49),'Task Inbox'!$S$6:$S$505,0)),"")</x:f>
      </x:c>
      <x:c r="J49" s="26" t="str">
        <x:f>IFERROR(INDEX('Task Inbox'!N$6:N$505,MATCH(ROWS($A$5:A49),'Task Inbox'!$S$6:$S$505,0)),"")</x:f>
      </x:c>
      <x:c r="K49" s="35" t="str">
        <x:f>IFERROR(INDEX('Task Inbox'!O$6:O$505,MATCH(ROWS($A$5:A49),'Task Inbox'!$S$6:$S$505,0)),"")</x:f>
      </x:c>
    </x:row>
    <x:row r="50">
      <x:c r="A50" s="26" t="str">
        <x:f>IFERROR(INDEX('Task Inbox'!A$6:A$505,MATCH(ROWS($A$5:A50),'Task Inbox'!$S$6:$S$505,0)),"")</x:f>
      </x:c>
      <x:c r="B50" s="26" t="str">
        <x:f>IFERROR(INDEX('Task Inbox'!B$6:B$505,MATCH(ROWS($A$5:A50),'Task Inbox'!$S$6:$S$505,0)),"")</x:f>
      </x:c>
      <x:c r="C50" s="26" t="str">
        <x:f>IFERROR(INDEX('Task Inbox'!D$6:D$505,MATCH(ROWS($A$5:A50),'Task Inbox'!$S$6:$S$505,0)),"")</x:f>
      </x:c>
      <x:c r="D50" s="26" t="str">
        <x:f>IFERROR(INDEX('Task Inbox'!E$6:E$505,MATCH(ROWS($A$5:A50),'Task Inbox'!$S$6:$S$505,0)),"")</x:f>
      </x:c>
      <x:c r="E50" s="26" t="str">
        <x:f>IFERROR(INDEX('Task Inbox'!F$6:F$505,MATCH(ROWS($A$5:A50),'Task Inbox'!$S$6:$S$505,0)),"")</x:f>
      </x:c>
      <x:c r="F50" s="26" t="str">
        <x:f>IFERROR(INDEX('Task Inbox'!G$6:G$505,MATCH(ROWS($A$5:A50),'Task Inbox'!$S$6:$S$505,0)),"")</x:f>
      </x:c>
      <x:c r="G50" s="35" t="str">
        <x:f>IFERROR(INDEX('Task Inbox'!H$6:H$505,MATCH(ROWS($A$5:A50),'Task Inbox'!$S$6:$S$505,0)),"")</x:f>
      </x:c>
      <x:c r="H50" s="36" t="str">
        <x:f>IFERROR(INDEX('Task Inbox'!J$6:J$505,MATCH(ROWS($A$5:A50),'Task Inbox'!$S$6:$S$505,0)),"")</x:f>
      </x:c>
      <x:c r="I50" s="26" t="str">
        <x:f>IFERROR(INDEX('Task Inbox'!K$6:K$505,MATCH(ROWS($A$5:A50),'Task Inbox'!$S$6:$S$505,0)),"")</x:f>
      </x:c>
      <x:c r="J50" s="26" t="str">
        <x:f>IFERROR(INDEX('Task Inbox'!N$6:N$505,MATCH(ROWS($A$5:A50),'Task Inbox'!$S$6:$S$505,0)),"")</x:f>
      </x:c>
      <x:c r="K50" s="35" t="str">
        <x:f>IFERROR(INDEX('Task Inbox'!O$6:O$505,MATCH(ROWS($A$5:A50),'Task Inbox'!$S$6:$S$505,0)),"")</x:f>
      </x:c>
    </x:row>
    <x:row r="51">
      <x:c r="A51" s="26" t="str">
        <x:f>IFERROR(INDEX('Task Inbox'!A$6:A$505,MATCH(ROWS($A$5:A51),'Task Inbox'!$S$6:$S$505,0)),"")</x:f>
      </x:c>
      <x:c r="B51" s="26" t="str">
        <x:f>IFERROR(INDEX('Task Inbox'!B$6:B$505,MATCH(ROWS($A$5:A51),'Task Inbox'!$S$6:$S$505,0)),"")</x:f>
      </x:c>
      <x:c r="C51" s="26" t="str">
        <x:f>IFERROR(INDEX('Task Inbox'!D$6:D$505,MATCH(ROWS($A$5:A51),'Task Inbox'!$S$6:$S$505,0)),"")</x:f>
      </x:c>
      <x:c r="D51" s="26" t="str">
        <x:f>IFERROR(INDEX('Task Inbox'!E$6:E$505,MATCH(ROWS($A$5:A51),'Task Inbox'!$S$6:$S$505,0)),"")</x:f>
      </x:c>
      <x:c r="E51" s="26" t="str">
        <x:f>IFERROR(INDEX('Task Inbox'!F$6:F$505,MATCH(ROWS($A$5:A51),'Task Inbox'!$S$6:$S$505,0)),"")</x:f>
      </x:c>
      <x:c r="F51" s="26" t="str">
        <x:f>IFERROR(INDEX('Task Inbox'!G$6:G$505,MATCH(ROWS($A$5:A51),'Task Inbox'!$S$6:$S$505,0)),"")</x:f>
      </x:c>
      <x:c r="G51" s="35" t="str">
        <x:f>IFERROR(INDEX('Task Inbox'!H$6:H$505,MATCH(ROWS($A$5:A51),'Task Inbox'!$S$6:$S$505,0)),"")</x:f>
      </x:c>
      <x:c r="H51" s="36" t="str">
        <x:f>IFERROR(INDEX('Task Inbox'!J$6:J$505,MATCH(ROWS($A$5:A51),'Task Inbox'!$S$6:$S$505,0)),"")</x:f>
      </x:c>
      <x:c r="I51" s="26" t="str">
        <x:f>IFERROR(INDEX('Task Inbox'!K$6:K$505,MATCH(ROWS($A$5:A51),'Task Inbox'!$S$6:$S$505,0)),"")</x:f>
      </x:c>
      <x:c r="J51" s="26" t="str">
        <x:f>IFERROR(INDEX('Task Inbox'!N$6:N$505,MATCH(ROWS($A$5:A51),'Task Inbox'!$S$6:$S$505,0)),"")</x:f>
      </x:c>
      <x:c r="K51" s="35" t="str">
        <x:f>IFERROR(INDEX('Task Inbox'!O$6:O$505,MATCH(ROWS($A$5:A51),'Task Inbox'!$S$6:$S$505,0)),"")</x:f>
      </x:c>
    </x:row>
    <x:row r="52">
      <x:c r="A52" s="26" t="str">
        <x:f>IFERROR(INDEX('Task Inbox'!A$6:A$505,MATCH(ROWS($A$5:A52),'Task Inbox'!$S$6:$S$505,0)),"")</x:f>
      </x:c>
      <x:c r="B52" s="26" t="str">
        <x:f>IFERROR(INDEX('Task Inbox'!B$6:B$505,MATCH(ROWS($A$5:A52),'Task Inbox'!$S$6:$S$505,0)),"")</x:f>
      </x:c>
      <x:c r="C52" s="26" t="str">
        <x:f>IFERROR(INDEX('Task Inbox'!D$6:D$505,MATCH(ROWS($A$5:A52),'Task Inbox'!$S$6:$S$505,0)),"")</x:f>
      </x:c>
      <x:c r="D52" s="26" t="str">
        <x:f>IFERROR(INDEX('Task Inbox'!E$6:E$505,MATCH(ROWS($A$5:A52),'Task Inbox'!$S$6:$S$505,0)),"")</x:f>
      </x:c>
      <x:c r="E52" s="26" t="str">
        <x:f>IFERROR(INDEX('Task Inbox'!F$6:F$505,MATCH(ROWS($A$5:A52),'Task Inbox'!$S$6:$S$505,0)),"")</x:f>
      </x:c>
      <x:c r="F52" s="26" t="str">
        <x:f>IFERROR(INDEX('Task Inbox'!G$6:G$505,MATCH(ROWS($A$5:A52),'Task Inbox'!$S$6:$S$505,0)),"")</x:f>
      </x:c>
      <x:c r="G52" s="35" t="str">
        <x:f>IFERROR(INDEX('Task Inbox'!H$6:H$505,MATCH(ROWS($A$5:A52),'Task Inbox'!$S$6:$S$505,0)),"")</x:f>
      </x:c>
      <x:c r="H52" s="36" t="str">
        <x:f>IFERROR(INDEX('Task Inbox'!J$6:J$505,MATCH(ROWS($A$5:A52),'Task Inbox'!$S$6:$S$505,0)),"")</x:f>
      </x:c>
      <x:c r="I52" s="26" t="str">
        <x:f>IFERROR(INDEX('Task Inbox'!K$6:K$505,MATCH(ROWS($A$5:A52),'Task Inbox'!$S$6:$S$505,0)),"")</x:f>
      </x:c>
      <x:c r="J52" s="26" t="str">
        <x:f>IFERROR(INDEX('Task Inbox'!N$6:N$505,MATCH(ROWS($A$5:A52),'Task Inbox'!$S$6:$S$505,0)),"")</x:f>
      </x:c>
      <x:c r="K52" s="35" t="str">
        <x:f>IFERROR(INDEX('Task Inbox'!O$6:O$505,MATCH(ROWS($A$5:A52),'Task Inbox'!$S$6:$S$505,0)),"")</x:f>
      </x:c>
    </x:row>
    <x:row r="53">
      <x:c r="A53" s="26" t="str">
        <x:f>IFERROR(INDEX('Task Inbox'!A$6:A$505,MATCH(ROWS($A$5:A53),'Task Inbox'!$S$6:$S$505,0)),"")</x:f>
      </x:c>
      <x:c r="B53" s="26" t="str">
        <x:f>IFERROR(INDEX('Task Inbox'!B$6:B$505,MATCH(ROWS($A$5:A53),'Task Inbox'!$S$6:$S$505,0)),"")</x:f>
      </x:c>
      <x:c r="C53" s="26" t="str">
        <x:f>IFERROR(INDEX('Task Inbox'!D$6:D$505,MATCH(ROWS($A$5:A53),'Task Inbox'!$S$6:$S$505,0)),"")</x:f>
      </x:c>
      <x:c r="D53" s="26" t="str">
        <x:f>IFERROR(INDEX('Task Inbox'!E$6:E$505,MATCH(ROWS($A$5:A53),'Task Inbox'!$S$6:$S$505,0)),"")</x:f>
      </x:c>
      <x:c r="E53" s="26" t="str">
        <x:f>IFERROR(INDEX('Task Inbox'!F$6:F$505,MATCH(ROWS($A$5:A53),'Task Inbox'!$S$6:$S$505,0)),"")</x:f>
      </x:c>
      <x:c r="F53" s="26" t="str">
        <x:f>IFERROR(INDEX('Task Inbox'!G$6:G$505,MATCH(ROWS($A$5:A53),'Task Inbox'!$S$6:$S$505,0)),"")</x:f>
      </x:c>
      <x:c r="G53" s="35" t="str">
        <x:f>IFERROR(INDEX('Task Inbox'!H$6:H$505,MATCH(ROWS($A$5:A53),'Task Inbox'!$S$6:$S$505,0)),"")</x:f>
      </x:c>
      <x:c r="H53" s="36" t="str">
        <x:f>IFERROR(INDEX('Task Inbox'!J$6:J$505,MATCH(ROWS($A$5:A53),'Task Inbox'!$S$6:$S$505,0)),"")</x:f>
      </x:c>
      <x:c r="I53" s="26" t="str">
        <x:f>IFERROR(INDEX('Task Inbox'!K$6:K$505,MATCH(ROWS($A$5:A53),'Task Inbox'!$S$6:$S$505,0)),"")</x:f>
      </x:c>
      <x:c r="J53" s="26" t="str">
        <x:f>IFERROR(INDEX('Task Inbox'!N$6:N$505,MATCH(ROWS($A$5:A53),'Task Inbox'!$S$6:$S$505,0)),"")</x:f>
      </x:c>
      <x:c r="K53" s="35" t="str">
        <x:f>IFERROR(INDEX('Task Inbox'!O$6:O$505,MATCH(ROWS($A$5:A53),'Task Inbox'!$S$6:$S$505,0)),"")</x:f>
      </x:c>
    </x:row>
    <x:row r="54">
      <x:c r="A54" s="26" t="str">
        <x:f>IFERROR(INDEX('Task Inbox'!A$6:A$505,MATCH(ROWS($A$5:A54),'Task Inbox'!$S$6:$S$505,0)),"")</x:f>
      </x:c>
      <x:c r="B54" s="26" t="str">
        <x:f>IFERROR(INDEX('Task Inbox'!B$6:B$505,MATCH(ROWS($A$5:A54),'Task Inbox'!$S$6:$S$505,0)),"")</x:f>
      </x:c>
      <x:c r="C54" s="26" t="str">
        <x:f>IFERROR(INDEX('Task Inbox'!D$6:D$505,MATCH(ROWS($A$5:A54),'Task Inbox'!$S$6:$S$505,0)),"")</x:f>
      </x:c>
      <x:c r="D54" s="26" t="str">
        <x:f>IFERROR(INDEX('Task Inbox'!E$6:E$505,MATCH(ROWS($A$5:A54),'Task Inbox'!$S$6:$S$505,0)),"")</x:f>
      </x:c>
      <x:c r="E54" s="26" t="str">
        <x:f>IFERROR(INDEX('Task Inbox'!F$6:F$505,MATCH(ROWS($A$5:A54),'Task Inbox'!$S$6:$S$505,0)),"")</x:f>
      </x:c>
      <x:c r="F54" s="26" t="str">
        <x:f>IFERROR(INDEX('Task Inbox'!G$6:G$505,MATCH(ROWS($A$5:A54),'Task Inbox'!$S$6:$S$505,0)),"")</x:f>
      </x:c>
      <x:c r="G54" s="35" t="str">
        <x:f>IFERROR(INDEX('Task Inbox'!H$6:H$505,MATCH(ROWS($A$5:A54),'Task Inbox'!$S$6:$S$505,0)),"")</x:f>
      </x:c>
      <x:c r="H54" s="36" t="str">
        <x:f>IFERROR(INDEX('Task Inbox'!J$6:J$505,MATCH(ROWS($A$5:A54),'Task Inbox'!$S$6:$S$505,0)),"")</x:f>
      </x:c>
      <x:c r="I54" s="26" t="str">
        <x:f>IFERROR(INDEX('Task Inbox'!K$6:K$505,MATCH(ROWS($A$5:A54),'Task Inbox'!$S$6:$S$505,0)),"")</x:f>
      </x:c>
      <x:c r="J54" s="26" t="str">
        <x:f>IFERROR(INDEX('Task Inbox'!N$6:N$505,MATCH(ROWS($A$5:A54),'Task Inbox'!$S$6:$S$505,0)),"")</x:f>
      </x:c>
      <x:c r="K54" s="35" t="str">
        <x:f>IFERROR(INDEX('Task Inbox'!O$6:O$505,MATCH(ROWS($A$5:A54),'Task Inbox'!$S$6:$S$505,0)),"")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4.4399995803833" hidden="0" customWidth="1"/>
    <x:col min="3" max="3" width="14.4399995803833" hidden="0" customWidth="1"/>
    <x:col min="4" max="4" width="13.329999923706055" hidden="0" customWidth="1"/>
    <x:col min="5" max="5" width="3.109999895095825" hidden="0" customWidth="1"/>
    <x:col min="6" max="6" width="21.110000610351562" hidden="0" customWidth="1"/>
    <x:col min="7" max="7" width="15.5600004196167" hidden="0" customWidth="1"/>
    <x:col min="8" max="8" width="3.109999895095825" hidden="0" customWidth="1"/>
    <x:col min="9" max="9" width="15.5600004196167" hidden="0" customWidth="1"/>
    <x:col min="10" max="10" width="8.890000343322754" hidden="0" customWidth="1"/>
  </x:cols>
  <x:sheetData>
    <x:row r="1" ht="31.5" customHeight="1">
      <x:c r="A1" s="2" t="str">
        <x:v>Settings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>
      <x:c r="A2" s="25" t="str">
        <x:v>Maintain fixed values here. Dropdowns in the workbook reference these lists.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</x:row>
    <x:row r="4">
      <x:c r="A4" s="27" t="str">
        <x:v>Status</x:v>
      </x:c>
      <x:c r="B4" s="27" t="str">
        <x:v>Priority</x:v>
      </x:c>
      <x:c r="C4" s="27" t="str">
        <x:v>Task Type</x:v>
      </x:c>
      <x:c r="D4" s="27" t="str">
        <x:v>Cadence</x:v>
      </x:c>
      <x:c r="E4" s="28"/>
      <x:c r="F4" s="27" t="str">
        <x:v>Project</x:v>
      </x:c>
      <x:c r="G4" s="27" t="str">
        <x:v>Project Owner</x:v>
      </x:c>
      <x:c r="H4" s="28"/>
      <x:c r="I4" s="27" t="str">
        <x:v>Owner List</x:v>
      </x:c>
      <x:c r="J4" s="26"/>
    </x:row>
    <x:row r="5">
      <x:c r="A5" s="28" t="str">
        <x:v>Not Started</x:v>
      </x:c>
      <x:c r="B5" s="28" t="str">
        <x:v>P0 Critical</x:v>
      </x:c>
      <x:c r="C5" s="28" t="str">
        <x:v>Personal</x:v>
      </x:c>
      <x:c r="D5" s="28" t="str">
        <x:v>One-time</x:v>
      </x:c>
      <x:c r="E5" s="28"/>
      <x:c r="F5" s="28" t="str">
        <x:v>Weekly Ops</x:v>
      </x:c>
      <x:c r="G5" s="28" t="str">
        <x:v>Me</x:v>
      </x:c>
      <x:c r="H5" s="28"/>
      <x:c r="I5" s="28" t="str">
        <x:v>Me</x:v>
      </x:c>
      <x:c r="J5" s="26"/>
    </x:row>
    <x:row r="6">
      <x:c r="A6" s="28" t="str">
        <x:v>In Progress</x:v>
      </x:c>
      <x:c r="B6" s="28" t="str">
        <x:v>P1 High</x:v>
      </x:c>
      <x:c r="C6" s="28" t="str">
        <x:v>Team</x:v>
      </x:c>
      <x:c r="D6" s="28" t="str">
        <x:v>Daily</x:v>
      </x:c>
      <x:c r="E6" s="28"/>
      <x:c r="F6" s="28" t="str">
        <x:v>Customer Delivery</x:v>
      </x:c>
      <x:c r="G6" s="28" t="str">
        <x:v>Alice</x:v>
      </x:c>
      <x:c r="H6" s="28"/>
      <x:c r="I6" s="28" t="str">
        <x:v>Alice</x:v>
      </x:c>
      <x:c r="J6" s="26"/>
    </x:row>
    <x:row r="7">
      <x:c r="A7" s="28" t="str">
        <x:v>Waiting on Others</x:v>
      </x:c>
      <x:c r="B7" s="28" t="str">
        <x:v>P2 Medium</x:v>
      </x:c>
      <x:c r="C7" s="28" t="str">
        <x:v>Project</x:v>
      </x:c>
      <x:c r="D7" s="28" t="str">
        <x:v>Weekly</x:v>
      </x:c>
      <x:c r="E7" s="28"/>
      <x:c r="F7" s="28" t="str">
        <x:v>Product Improvements</x:v>
      </x:c>
      <x:c r="G7" s="28" t="str">
        <x:v>Ben</x:v>
      </x:c>
      <x:c r="H7" s="28"/>
      <x:c r="I7" s="28" t="str">
        <x:v>Ben</x:v>
      </x:c>
      <x:c r="J7" s="26"/>
    </x:row>
    <x:row r="8">
      <x:c r="A8" s="28" t="str">
        <x:v>Blocked</x:v>
      </x:c>
      <x:c r="B8" s="28" t="str">
        <x:v>P3 Low</x:v>
      </x:c>
      <x:c r="C8" s="28" t="str">
        <x:v>Meeting</x:v>
      </x:c>
      <x:c r="D8" s="28" t="str">
        <x:v>Monthly</x:v>
      </x:c>
      <x:c r="E8" s="28"/>
      <x:c r="F8" s="28" t="str">
        <x:v>Team Management</x:v>
      </x:c>
      <x:c r="G8" s="28" t="str">
        <x:v>Me</x:v>
      </x:c>
      <x:c r="H8" s="28"/>
      <x:c r="I8" s="28" t="str">
        <x:v>Carla</x:v>
      </x:c>
      <x:c r="J8" s="26"/>
    </x:row>
    <x:row r="9">
      <x:c r="A9" s="28" t="str">
        <x:v>Scheduled</x:v>
      </x:c>
      <x:c r="B9" s="28"/>
      <x:c r="C9" s="28" t="str">
        <x:v>Decision</x:v>
      </x:c>
      <x:c r="D9" s="28" t="str">
        <x:v>Quarterly</x:v>
      </x:c>
      <x:c r="E9" s="28"/>
      <x:c r="F9" s="28" t="str">
        <x:v>Hiring</x:v>
      </x:c>
      <x:c r="G9" s="28" t="str">
        <x:v>HR</x:v>
      </x:c>
      <x:c r="H9" s="28"/>
      <x:c r="I9" s="28" t="str">
        <x:v>David</x:v>
      </x:c>
      <x:c r="J9" s="26"/>
    </x:row>
    <x:row r="10">
      <x:c r="A10" s="28" t="str">
        <x:v>Done</x:v>
      </x:c>
      <x:c r="B10" s="28"/>
      <x:c r="C10" s="28" t="str">
        <x:v>Follow-up</x:v>
      </x:c>
      <x:c r="D10" s="28"/>
      <x:c r="E10" s="28"/>
      <x:c r="F10" s="28" t="str">
        <x:v>Budget Planning</x:v>
      </x:c>
      <x:c r="G10" s="28" t="str">
        <x:v>Finance</x:v>
      </x:c>
      <x:c r="H10" s="28"/>
      <x:c r="I10" s="28" t="str">
        <x:v>Finance</x:v>
      </x:c>
      <x:c r="J10" s="26"/>
    </x:row>
    <x:row r="11">
      <x:c r="A11" s="28" t="str">
        <x:v>Canceled</x:v>
      </x:c>
      <x:c r="B11" s="28"/>
      <x:c r="C11" s="28" t="str">
        <x:v>Admin</x:v>
      </x:c>
      <x:c r="D11" s="28"/>
      <x:c r="E11" s="28"/>
      <x:c r="F11" s="28" t="str">
        <x:v>Process Optimization</x:v>
      </x:c>
      <x:c r="G11" s="28" t="str">
        <x:v>Product</x:v>
      </x:c>
      <x:c r="H11" s="28"/>
      <x:c r="I11" s="28" t="str">
        <x:v>Product</x:v>
      </x:c>
      <x:c r="J11" s="26"/>
    </x:row>
    <x:row r="12">
      <x:c r="A12" s="28"/>
      <x:c r="B12" s="28"/>
      <x:c r="C12" s="28" t="str">
        <x:v>Risk</x:v>
      </x:c>
      <x:c r="D12" s="28"/>
      <x:c r="E12" s="28"/>
      <x:c r="F12" s="28" t="str">
        <x:v>Personal Management</x:v>
      </x:c>
      <x:c r="G12" s="28" t="str">
        <x:v>Me</x:v>
      </x:c>
      <x:c r="H12" s="28"/>
      <x:c r="I12" s="28" t="str">
        <x:v>HR</x:v>
      </x:c>
      <x:c r="J12" s="26"/>
    </x:row>
    <x:row r="13">
      <x:c r="A13" s="28"/>
      <x:c r="B13" s="28"/>
      <x:c r="C13" s="28"/>
      <x:c r="D13" s="28"/>
      <x:c r="E13" s="28"/>
      <x:c r="F13" s="28" t="str">
        <x:v>Cross-functional</x:v>
      </x:c>
      <x:c r="G13" s="28" t="str">
        <x:v>Me</x:v>
      </x:c>
      <x:c r="H13" s="28"/>
      <x:c r="I13" s="28" t="str">
        <x:v>Sales</x:v>
      </x:c>
      <x:c r="J13" s="26"/>
    </x:row>
    <x:row r="14">
      <x:c r="A14" s="28"/>
      <x:c r="B14" s="28"/>
      <x:c r="C14" s="28"/>
      <x:c r="D14" s="28"/>
      <x:c r="E14" s="28"/>
      <x:c r="F14" s="28" t="str">
        <x:v>Risk Handling</x:v>
      </x:c>
      <x:c r="G14" s="28" t="str">
        <x:v>Me</x:v>
      </x:c>
      <x:c r="H14" s="28"/>
      <x:c r="I14" s="28" t="str">
        <x:v>Legal</x:v>
      </x:c>
      <x:c r="J14" s="26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6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6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6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6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6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6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6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6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6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6"/>
    </x:row>
  </x:sheetData>
  <x:pageMargins left="0.7" right="0.7" top="0.75" bottom="0.75" header="0.3" footer="0.3"/>
</x:worksheet>
</file>